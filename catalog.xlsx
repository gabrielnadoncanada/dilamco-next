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ategories" sheetId="2" r:id="rId2"/>
    <sheet name="Sheet1" sheetId="3" r:id="rId3"/>
  </sheets>
  <definedNames>
    <definedName name="_xlnm._FilterDatabase" localSheetId="1" hidden="1">'Categories'!A1:C41</definedName>
    <definedName name="_xlnm._FilterDatabase" localSheetId="0" hidden="1">'Products'!A1:AE323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&quot;$&quot;* #,##0.00_-;\-&quot;$&quot;* #,##0.00_-;_-&quot;$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23"/>
  <sheetViews>
    <sheetView workbookViewId="0" rightToLeft="0"/>
  </sheetViews>
  <cols>
    <col min="1" max="1" customWidth="1" width="22"/>
    <col min="2" max="2" customWidth="1" width="13.42578125"/>
    <col min="3" max="3" customWidth="1" width="11"/>
    <col min="4" max="4" customWidth="1" width="14.5703125"/>
    <col min="5" max="5" customWidth="1" width="9"/>
    <col min="6" max="6" customWidth="1" width="9"/>
    <col min="7" max="7" customWidth="1" width="18.85546875"/>
    <col min="8" max="8" customWidth="1" width="13"/>
    <col min="9" max="9" customWidth="1" width="20"/>
    <col min="10" max="10" customWidth="1" width="19.85546875"/>
    <col min="11" max="11" customWidth="1" width="28.5703125"/>
    <col min="12" max="12" customWidth="1" width="25.7109375"/>
    <col min="13" max="13" customWidth="1" width="28.5703125"/>
    <col min="14" max="14" customWidth="1" width="57.140625"/>
    <col min="15" max="15" customWidth="1" width="70.28515625"/>
    <col min="16" max="16" customWidth="1" width="39.7109375" hidden="true"/>
    <col min="17" max="17" customWidth="1" width="16.7109375" hidden="true"/>
    <col min="18" max="18" customWidth="1" width="15" hidden="true"/>
    <col min="19" max="19" customWidth="1" width="14.42578125" hidden="true"/>
    <col min="20" max="20" customWidth="1" width="14.7109375" hidden="true"/>
    <col min="21" max="21" customWidth="1" width="15.7109375" hidden="true"/>
    <col min="22" max="22" customWidth="1" width="19.28515625" hidden="true"/>
    <col min="23" max="23" customWidth="1" width="20.28515625" hidden="true"/>
    <col min="24" max="24" customWidth="1" width="15.42578125"/>
    <col min="25" max="25" customWidth="1" width="11.7109375" hidden="true"/>
    <col min="26" max="26" customWidth="1" width="15.42578125"/>
    <col min="27" max="27" customWidth="1" width="7"/>
    <col min="28" max="28" customWidth="1" width="7"/>
    <col min="29" max="29" customWidth="1" width="7"/>
    <col min="30" max="30" customWidth="1" width="8"/>
    <col min="31" max="31" customWidth="1" width="9"/>
  </cols>
  <sheetData>
    <row r="1" ht="60" customHeight="1">
      <c r="A1" t="str">
        <v>internal_code</v>
      </c>
      <c r="B1" t="str">
        <v>Should Ignore</v>
      </c>
      <c r="C1" t="str">
        <v>Don't know what it is</v>
      </c>
      <c r="D1" t="str">
        <v>Too complicated to put on website</v>
      </c>
      <c r="E1" t="str">
        <v>visible</v>
      </c>
      <c r="F1" t="str">
        <v>question</v>
      </c>
      <c r="G1" t="str">
        <v>external_code</v>
      </c>
      <c r="H1" t="str">
        <v>finish</v>
      </c>
      <c r="I1" t="str">
        <v>SKU</v>
      </c>
      <c r="J1" t="str">
        <v>category</v>
      </c>
      <c r="K1" t="str">
        <v>sub_category</v>
      </c>
      <c r="L1" t="str">
        <v>category_fr</v>
      </c>
      <c r="M1" t="str">
        <v>sub_category_fr</v>
      </c>
      <c r="N1" t="str">
        <v>name</v>
      </c>
      <c r="O1" t="str">
        <v xml:space="preserve"> full_name</v>
      </c>
      <c r="P1" t="str">
        <v>short_name</v>
      </c>
      <c r="Q1" s="1" t="str">
        <v>Retail Price Yihai (cad)</v>
      </c>
      <c r="R1" s="1" t="str">
        <v>Cost (material) (usd)</v>
      </c>
      <c r="S1" s="1" t="str">
        <v>Cost (material) (cad)</v>
      </c>
      <c r="T1" s="1" t="str">
        <v>Cost (material + duty) (cad)</v>
      </c>
      <c r="U1" s="1" t="str">
        <v>Cost (material + duty + boat) (cad)</v>
      </c>
      <c r="V1" s="1" t="str">
        <v>Cost (material + duty + boat + warehouse) (cad)</v>
      </c>
      <c r="W1" s="1" t="str">
        <v>Cost (material + duty + boat + warehouse + waste) (cad)</v>
      </c>
      <c r="X1" s="1" t="str">
        <v>Cost (total) (cad)</v>
      </c>
      <c r="Y1" s="2" t="str">
        <v>Margin</v>
      </c>
      <c r="Z1" s="1" t="str">
        <v>Price (cad)</v>
      </c>
      <c r="AA1" t="str">
        <v>w</v>
      </c>
      <c r="AB1" t="str">
        <v>h</v>
      </c>
      <c r="AC1" t="str">
        <v>d</v>
      </c>
      <c r="AD1" t="str">
        <v>doors</v>
      </c>
      <c r="AE1" t="str">
        <v>drawers</v>
      </c>
      <c r="AF1" t="str">
        <v>full_name_en</v>
      </c>
      <c r="AG1" t="str">
        <v>short_name_en</v>
      </c>
    </row>
    <row r="2" hidden="1">
      <c r="A2" t="str">
        <v>S8-B12</v>
      </c>
      <c r="B2" t="b">
        <v>1</v>
      </c>
      <c r="E2" t="b">
        <f>IF(OR(B2=TRUE,C2=TRUE,D2=TRUE),FALSE,TRUE)</f>
        <v>0</v>
      </c>
      <c r="G2" t="str">
        <v>DRDOBC12</v>
      </c>
      <c r="H2" t="str">
        <f>IF(ISNUMBER(SEARCH("muf",A2)),"Chêne blanc","Blanc")</f>
        <v>Blanc</v>
      </c>
      <c r="I2" t="str">
        <f>CONCAT(G2,IF(H2="","",IF(H2="Blanc","-CW","-WWO")))</f>
        <v>DRDOBC12-CW</v>
      </c>
      <c r="J2" t="str">
        <f>IFERROR(VLOOKUP(K2,Categories!$A$2:$C$41,2,FALSE()),"⚠ slug introuvable")</f>
        <v>base-cabinet</v>
      </c>
      <c r="K2" t="str">
        <v>base-cabinet-standard</v>
      </c>
      <c r="L2" t="str">
        <f>IFERROR(VLOOKUP(J2,Categories!$A$2:$C$41,3,FALSE()),"⚠ slug introuvable")</f>
        <v>Armoire du bas</v>
      </c>
      <c r="M2" t="str">
        <f>IFERROR(VLOOKUP(K2,Categories!$A$2:$C$41,3,FALSE()),"⚠ slug introuvable")</f>
        <v>Standard</v>
      </c>
      <c r="N2" t="str">
        <v>Armoire de cuisine du bas avec 1 tiroir et 1 porte</v>
      </c>
      <c r="O2" t="str">
        <f>CONCAT(N2," (",AA2,""")")</f>
        <v>Armoire de cuisine du bas avec 1 tiroir et 1 porte (12")</v>
      </c>
      <c r="P2" t="str">
        <f>CONCAT("1 tiroir et 1 porte"," (",AA2,""")")</f>
        <v>1 tiroir et 1 porte (12")</v>
      </c>
      <c r="Q2" s="1">
        <v>0</v>
      </c>
      <c r="R2" s="1">
        <f>Q2/11.25</f>
        <v>0</v>
      </c>
      <c r="S2" s="1">
        <f>R2*1.4</f>
        <v>0</v>
      </c>
      <c r="T2" s="1">
        <f>S2*1.1</f>
        <v>0</v>
      </c>
      <c r="U2" s="1">
        <f>T2*1.2</f>
        <v>0</v>
      </c>
      <c r="V2" s="1">
        <f>U2*1.2</f>
        <v>0</v>
      </c>
      <c r="W2" s="1">
        <f>V2*1.1</f>
        <v>0</v>
      </c>
      <c r="X2" s="1">
        <f>W2</f>
        <v>0</v>
      </c>
      <c r="Y2" s="2">
        <v>0.4</v>
      </c>
      <c r="Z2" s="1">
        <f>X2*(1+Y2)</f>
        <v>0</v>
      </c>
      <c r="AA2">
        <v>12</v>
      </c>
      <c r="AB2">
        <v>34.5</v>
      </c>
      <c r="AC2">
        <v>24</v>
      </c>
      <c r="AD2">
        <v>1</v>
      </c>
      <c r="AE2">
        <v>1</v>
      </c>
      <c r="AF2" t="str">
        <v>Base kitchen cabinet with 1 drawer and 1 door (12")</v>
      </c>
      <c r="AG2" t="str">
        <v>1 drawer and 1 door (12")</v>
      </c>
    </row>
    <row r="3" hidden="1">
      <c r="A3" t="str">
        <v>S8-B12-muf</v>
      </c>
      <c r="B3" t="b">
        <v>1</v>
      </c>
      <c r="E3" t="b">
        <f>IF(OR(B3=TRUE,C3=TRUE,D3=TRUE),FALSE,TRUE)</f>
        <v>0</v>
      </c>
      <c r="G3" t="str">
        <v>DRDOBC12</v>
      </c>
      <c r="H3" t="str">
        <f>IF(ISNUMBER(SEARCH("muf",A3)),"Chêne blanc","Blanc")</f>
        <v>Chêne blanc</v>
      </c>
      <c r="I3" t="str">
        <f>CONCAT(G3,IF(H3="","",IF(H3="Blanc","-CW","-WWO")))</f>
        <v>DRDOBC12-WWO</v>
      </c>
      <c r="J3" t="str">
        <f>IFERROR(VLOOKUP(K3,Categories!$A$2:$C$41,2,FALSE()),"⚠ slug introuvable")</f>
        <v>base-cabinet</v>
      </c>
      <c r="K3" t="str">
        <v>base-cabinet-standard</v>
      </c>
      <c r="L3" t="str">
        <f>IFERROR(VLOOKUP(J3,Categories!$A$2:$C$41,3,FALSE()),"⚠ slug introuvable")</f>
        <v>Armoire du bas</v>
      </c>
      <c r="M3" t="str">
        <f>IFERROR(VLOOKUP(K3,Categories!$A$2:$C$41,3,FALSE()),"⚠ slug introuvable")</f>
        <v>Standard</v>
      </c>
      <c r="N3" t="str">
        <v>Armoire de cuisine du bas avec 1 tiroir et 1 porte</v>
      </c>
      <c r="O3" t="str">
        <f>CONCAT(N3," (",AA3,""")")</f>
        <v>Armoire de cuisine du bas avec 1 tiroir et 1 porte (12")</v>
      </c>
      <c r="P3" t="str">
        <f>CONCAT("1 tiroir et 1 porte"," (",AA3,""")")</f>
        <v>1 tiroir et 1 porte (12")</v>
      </c>
      <c r="Q3" s="1">
        <v>0</v>
      </c>
      <c r="R3" s="1">
        <f>Q3/11.25</f>
        <v>0</v>
      </c>
      <c r="S3" s="1">
        <f>R3*1.4</f>
        <v>0</v>
      </c>
      <c r="T3" s="1">
        <f>S3*1.1</f>
        <v>0</v>
      </c>
      <c r="U3" s="1">
        <f>T3*1.2</f>
        <v>0</v>
      </c>
      <c r="V3" s="1">
        <f>U3*1.2</f>
        <v>0</v>
      </c>
      <c r="W3" s="1">
        <f>V3*1.1</f>
        <v>0</v>
      </c>
      <c r="X3" s="1">
        <f>W3</f>
        <v>0</v>
      </c>
      <c r="Y3" s="2">
        <v>0.4</v>
      </c>
      <c r="Z3" s="1">
        <f>X3*(1+Y3)</f>
        <v>0</v>
      </c>
      <c r="AA3">
        <v>12</v>
      </c>
      <c r="AB3">
        <v>34.5</v>
      </c>
      <c r="AC3">
        <v>24</v>
      </c>
      <c r="AD3">
        <v>1</v>
      </c>
      <c r="AE3">
        <v>1</v>
      </c>
      <c r="AF3" t="str">
        <v>Base kitchen cabinet with 1 drawer and 1 door (12")</v>
      </c>
      <c r="AG3" t="str">
        <v>1 drawer and 1 door (12")</v>
      </c>
    </row>
    <row r="4" hidden="1">
      <c r="A4" t="str">
        <v>S8-B15</v>
      </c>
      <c r="B4" t="b">
        <v>1</v>
      </c>
      <c r="E4" t="b">
        <f>IF(OR(B4=TRUE,C4=TRUE,D4=TRUE),FALSE,TRUE)</f>
        <v>0</v>
      </c>
      <c r="G4" t="str">
        <v>DRDOBC15</v>
      </c>
      <c r="H4" t="str">
        <f>IF(ISNUMBER(SEARCH("muf",A4)),"Chêne blanc","Blanc")</f>
        <v>Blanc</v>
      </c>
      <c r="I4" t="str">
        <f>CONCAT(G4,IF(H4="","",IF(H4="Blanc","-CW","-WWO")))</f>
        <v>DRDOBC15-CW</v>
      </c>
      <c r="J4" t="str">
        <f>IFERROR(VLOOKUP(K4,Categories!$A$2:$C$41,2,FALSE()),"⚠ slug introuvable")</f>
        <v>base-cabinet</v>
      </c>
      <c r="K4" t="str">
        <v>base-cabinet-standard</v>
      </c>
      <c r="L4" t="str">
        <f>IFERROR(VLOOKUP(J4,Categories!$A$2:$C$41,3,FALSE()),"⚠ slug introuvable")</f>
        <v>Armoire du bas</v>
      </c>
      <c r="M4" t="str">
        <f>IFERROR(VLOOKUP(K4,Categories!$A$2:$C$41,3,FALSE()),"⚠ slug introuvable")</f>
        <v>Standard</v>
      </c>
      <c r="N4" t="str">
        <v>Armoire de cuisine du bas avec 1 tiroir et 1 porte</v>
      </c>
      <c r="O4" t="str">
        <f>CONCAT(N4," (",AA4,""")")</f>
        <v>Armoire de cuisine du bas avec 1 tiroir et 1 porte (15")</v>
      </c>
      <c r="P4" t="str">
        <f>CONCAT("1 tiroir et 1 porte"," (",AA4,""")")</f>
        <v>1 tiroir et 1 porte (15")</v>
      </c>
      <c r="Q4" s="1">
        <v>0</v>
      </c>
      <c r="R4" s="1">
        <f>Q4/11.25</f>
        <v>0</v>
      </c>
      <c r="S4" s="1">
        <f>R4*1.4</f>
        <v>0</v>
      </c>
      <c r="T4" s="1">
        <f>S4*1.1</f>
        <v>0</v>
      </c>
      <c r="U4" s="1">
        <f>T4*1.2</f>
        <v>0</v>
      </c>
      <c r="V4" s="1">
        <f>U4*1.2</f>
        <v>0</v>
      </c>
      <c r="W4" s="1">
        <f>V4*1.1</f>
        <v>0</v>
      </c>
      <c r="X4" s="1">
        <f>W4</f>
        <v>0</v>
      </c>
      <c r="Y4" s="2">
        <v>0.4</v>
      </c>
      <c r="Z4" s="1">
        <f>X4*(1+Y4)</f>
        <v>0</v>
      </c>
      <c r="AA4">
        <v>15</v>
      </c>
      <c r="AB4">
        <v>34.5</v>
      </c>
      <c r="AC4">
        <v>24</v>
      </c>
      <c r="AD4">
        <v>1</v>
      </c>
      <c r="AE4">
        <v>1</v>
      </c>
      <c r="AF4" t="str">
        <v>Base kitchen cabinet with 1 drawer and 1 door (15")</v>
      </c>
      <c r="AG4" t="str">
        <v>1 drawer and 1 door (15")</v>
      </c>
    </row>
    <row r="5" hidden="1">
      <c r="A5" t="str">
        <v>S8-B15-muf</v>
      </c>
      <c r="B5" t="b">
        <v>1</v>
      </c>
      <c r="E5" t="b">
        <f>IF(OR(B5=TRUE,C5=TRUE,D5=TRUE),FALSE,TRUE)</f>
        <v>0</v>
      </c>
      <c r="G5" t="str">
        <v>DRDOBC15</v>
      </c>
      <c r="H5" t="str">
        <f>IF(ISNUMBER(SEARCH("muf",A5)),"Chêne blanc","Blanc")</f>
        <v>Chêne blanc</v>
      </c>
      <c r="I5" t="str">
        <f>CONCAT(G5,IF(H5="","",IF(H5="Blanc","-CW","-WWO")))</f>
        <v>DRDOBC15-WWO</v>
      </c>
      <c r="J5" t="str">
        <f>IFERROR(VLOOKUP(K5,Categories!$A$2:$C$41,2,FALSE()),"⚠ slug introuvable")</f>
        <v>base-cabinet</v>
      </c>
      <c r="K5" t="str">
        <v>base-cabinet-standard</v>
      </c>
      <c r="L5" t="str">
        <f>IFERROR(VLOOKUP(J5,Categories!$A$2:$C$41,3,FALSE()),"⚠ slug introuvable")</f>
        <v>Armoire du bas</v>
      </c>
      <c r="M5" t="str">
        <f>IFERROR(VLOOKUP(K5,Categories!$A$2:$C$41,3,FALSE()),"⚠ slug introuvable")</f>
        <v>Standard</v>
      </c>
      <c r="N5" t="str">
        <v>Armoire de cuisine du bas avec 1 tiroir et 1 porte</v>
      </c>
      <c r="O5" t="str">
        <f>CONCAT(N5," (",AA5,""")")</f>
        <v>Armoire de cuisine du bas avec 1 tiroir et 1 porte (15")</v>
      </c>
      <c r="P5" t="str">
        <f>CONCAT("1 tiroir et 1 porte"," (",AA5,""")")</f>
        <v>1 tiroir et 1 porte (15")</v>
      </c>
      <c r="Q5" s="1">
        <v>0</v>
      </c>
      <c r="R5" s="1">
        <f>Q5/11.25</f>
        <v>0</v>
      </c>
      <c r="S5" s="1">
        <f>R5*1.4</f>
        <v>0</v>
      </c>
      <c r="T5" s="1">
        <f>S5*1.1</f>
        <v>0</v>
      </c>
      <c r="U5" s="1">
        <f>T5*1.2</f>
        <v>0</v>
      </c>
      <c r="V5" s="1">
        <f>U5*1.2</f>
        <v>0</v>
      </c>
      <c r="W5" s="1">
        <f>V5*1.1</f>
        <v>0</v>
      </c>
      <c r="X5" s="1">
        <f>W5</f>
        <v>0</v>
      </c>
      <c r="Y5" s="2">
        <v>0.4</v>
      </c>
      <c r="Z5" s="1">
        <f>X5*(1+Y5)</f>
        <v>0</v>
      </c>
      <c r="AA5">
        <v>15</v>
      </c>
      <c r="AB5">
        <v>34.5</v>
      </c>
      <c r="AC5">
        <v>24</v>
      </c>
      <c r="AD5">
        <v>1</v>
      </c>
      <c r="AE5">
        <v>1</v>
      </c>
      <c r="AF5" t="str">
        <v>Base kitchen cabinet with 1 drawer and 1 door (15")</v>
      </c>
      <c r="AG5" t="str">
        <v>1 drawer and 1 door (15")</v>
      </c>
    </row>
    <row r="6" hidden="1">
      <c r="A6" t="str">
        <v>S8-B18</v>
      </c>
      <c r="B6" t="b">
        <v>1</v>
      </c>
      <c r="E6" t="b">
        <f>IF(OR(B6=TRUE,C6=TRUE,D6=TRUE),FALSE,TRUE)</f>
        <v>0</v>
      </c>
      <c r="G6" t="str">
        <v>DRDOBC18</v>
      </c>
      <c r="H6" t="str">
        <f>IF(ISNUMBER(SEARCH("muf",A6)),"Chêne blanc","Blanc")</f>
        <v>Blanc</v>
      </c>
      <c r="I6" t="str">
        <f>CONCAT(G6,IF(H6="","",IF(H6="Blanc","-CW","-WWO")))</f>
        <v>DRDOBC18-CW</v>
      </c>
      <c r="J6" t="str">
        <f>IFERROR(VLOOKUP(K6,Categories!$A$2:$C$41,2,FALSE()),"⚠ slug introuvable")</f>
        <v>base-cabinet</v>
      </c>
      <c r="K6" t="str">
        <v>base-cabinet-standard</v>
      </c>
      <c r="L6" t="str">
        <f>IFERROR(VLOOKUP(J6,Categories!$A$2:$C$41,3,FALSE()),"⚠ slug introuvable")</f>
        <v>Armoire du bas</v>
      </c>
      <c r="M6" t="str">
        <f>IFERROR(VLOOKUP(K6,Categories!$A$2:$C$41,3,FALSE()),"⚠ slug introuvable")</f>
        <v>Standard</v>
      </c>
      <c r="N6" t="str">
        <v>Armoire de cuisine du bas avec 1 tiroir et 1 porte</v>
      </c>
      <c r="O6" t="str">
        <f>CONCAT(N6," (",AA6,""")")</f>
        <v>Armoire de cuisine du bas avec 1 tiroir et 1 porte (18")</v>
      </c>
      <c r="P6" t="str">
        <f>CONCAT("1 tiroir et 1 porte"," (",AA6,""")")</f>
        <v>1 tiroir et 1 porte (18")</v>
      </c>
      <c r="Q6" s="1">
        <v>0</v>
      </c>
      <c r="R6" s="1">
        <f>Q6/11.25</f>
        <v>0</v>
      </c>
      <c r="S6" s="1">
        <f>R6*1.4</f>
        <v>0</v>
      </c>
      <c r="T6" s="1">
        <f>S6*1.1</f>
        <v>0</v>
      </c>
      <c r="U6" s="1">
        <f>T6*1.2</f>
        <v>0</v>
      </c>
      <c r="V6" s="1">
        <f>U6*1.2</f>
        <v>0</v>
      </c>
      <c r="W6" s="1">
        <f>V6*1.1</f>
        <v>0</v>
      </c>
      <c r="X6" s="1">
        <f>W6</f>
        <v>0</v>
      </c>
      <c r="Y6" s="2">
        <v>0.4</v>
      </c>
      <c r="Z6" s="1">
        <f>X6*(1+Y6)</f>
        <v>0</v>
      </c>
      <c r="AA6">
        <v>18</v>
      </c>
      <c r="AB6">
        <v>34.5</v>
      </c>
      <c r="AC6">
        <v>24</v>
      </c>
      <c r="AD6">
        <v>1</v>
      </c>
      <c r="AE6">
        <v>1</v>
      </c>
      <c r="AF6" t="str">
        <v>Base kitchen cabinet with 1 drawer and 1 door (18")</v>
      </c>
      <c r="AG6" t="str">
        <v>1 drawer and 1 door (18")</v>
      </c>
    </row>
    <row r="7" hidden="1">
      <c r="A7" t="str">
        <v>S8-B18-muf</v>
      </c>
      <c r="B7" t="b">
        <v>1</v>
      </c>
      <c r="E7" t="b">
        <f>IF(OR(B7=TRUE,C7=TRUE,D7=TRUE),FALSE,TRUE)</f>
        <v>0</v>
      </c>
      <c r="G7" t="str">
        <v>DRDOBC18</v>
      </c>
      <c r="H7" t="str">
        <f>IF(ISNUMBER(SEARCH("muf",A7)),"Chêne blanc","Blanc")</f>
        <v>Chêne blanc</v>
      </c>
      <c r="I7" t="str">
        <f>CONCAT(G7,IF(H7="","",IF(H7="Blanc","-CW","-WWO")))</f>
        <v>DRDOBC18-WWO</v>
      </c>
      <c r="J7" t="str">
        <f>IFERROR(VLOOKUP(K7,Categories!$A$2:$C$41,2,FALSE()),"⚠ slug introuvable")</f>
        <v>base-cabinet</v>
      </c>
      <c r="K7" t="str">
        <v>base-cabinet-standard</v>
      </c>
      <c r="L7" t="str">
        <f>IFERROR(VLOOKUP(J7,Categories!$A$2:$C$41,3,FALSE()),"⚠ slug introuvable")</f>
        <v>Armoire du bas</v>
      </c>
      <c r="M7" t="str">
        <f>IFERROR(VLOOKUP(K7,Categories!$A$2:$C$41,3,FALSE()),"⚠ slug introuvable")</f>
        <v>Standard</v>
      </c>
      <c r="N7" t="str">
        <v>Armoire de cuisine du bas avec 1 tiroir et 1 porte</v>
      </c>
      <c r="O7" t="str">
        <f>CONCAT(N7," (",AA7,""")")</f>
        <v>Armoire de cuisine du bas avec 1 tiroir et 1 porte (18")</v>
      </c>
      <c r="P7" t="str">
        <f>CONCAT("1 tiroir et 1 porte"," (",AA7,""")")</f>
        <v>1 tiroir et 1 porte (18")</v>
      </c>
      <c r="Q7" s="1">
        <v>0</v>
      </c>
      <c r="R7" s="1">
        <f>Q7/11.25</f>
        <v>0</v>
      </c>
      <c r="S7" s="1">
        <f>R7*1.4</f>
        <v>0</v>
      </c>
      <c r="T7" s="1">
        <f>S7*1.1</f>
        <v>0</v>
      </c>
      <c r="U7" s="1">
        <f>T7*1.2</f>
        <v>0</v>
      </c>
      <c r="V7" s="1">
        <f>U7*1.2</f>
        <v>0</v>
      </c>
      <c r="W7" s="1">
        <f>V7*1.1</f>
        <v>0</v>
      </c>
      <c r="X7" s="1">
        <f>W7</f>
        <v>0</v>
      </c>
      <c r="Y7" s="2">
        <v>0.4</v>
      </c>
      <c r="Z7" s="1">
        <f>X7*(1+Y7)</f>
        <v>0</v>
      </c>
      <c r="AA7">
        <v>18</v>
      </c>
      <c r="AB7">
        <v>34.5</v>
      </c>
      <c r="AC7">
        <v>24</v>
      </c>
      <c r="AD7">
        <v>1</v>
      </c>
      <c r="AE7">
        <v>1</v>
      </c>
      <c r="AF7" t="str">
        <v>Base kitchen cabinet with 1 drawer and 1 door (18")</v>
      </c>
      <c r="AG7" t="str">
        <v>1 drawer and 1 door (18")</v>
      </c>
    </row>
    <row r="8" hidden="1">
      <c r="A8" t="str">
        <v>S8-B18-PO</v>
      </c>
      <c r="E8" t="b">
        <f>IF(OR(B8=TRUE,C8=TRUE,D8=TRUE),FALSE,TRUE)</f>
        <v>1</v>
      </c>
      <c r="G8" t="str">
        <v>DRGBBC18</v>
      </c>
      <c r="H8" t="str">
        <f>IF(ISNUMBER(SEARCH("muf",A8)),"Chêne blanc","Blanc")</f>
        <v>Blanc</v>
      </c>
      <c r="I8" t="str">
        <f>CONCAT(G8,IF(H8="","",IF(H8="Blanc","-CW","-WWO")))</f>
        <v>DRGBBC18-CW</v>
      </c>
      <c r="J8" t="str">
        <f>IFERROR(VLOOKUP(K8,Categories!$A$2:$C$41,2,FALSE()),"⚠ slug introuvable")</f>
        <v>base-cabinet</v>
      </c>
      <c r="K8" t="str">
        <v>base-cabinet-garbage-pull-out</v>
      </c>
      <c r="L8" t="str">
        <f>IFERROR(VLOOKUP(J8,Categories!$A$2:$C$41,3,FALSE()),"⚠ slug introuvable")</f>
        <v>Armoire du bas</v>
      </c>
      <c r="M8" t="str">
        <f>IFERROR(VLOOKUP(K8,Categories!$A$2:$C$41,3,FALSE()),"⚠ slug introuvable")</f>
        <v>Tiroir à déchets</v>
      </c>
      <c r="N8" t="str">
        <v>Armoire de cuisine du bas avec tiroir à déchets coulissant</v>
      </c>
      <c r="O8" t="str">
        <f>CONCAT(N8," (",AA8,""")")</f>
        <v>Armoire de cuisine du bas avec tiroir à déchets coulissant (18")</v>
      </c>
      <c r="P8" t="str">
        <f>CONCAT("Tiroir à déchets coulissant"," (",AA8,""")")</f>
        <v>Tiroir à déchets coulissant (18")</v>
      </c>
      <c r="Q8" s="1">
        <v>1075</v>
      </c>
      <c r="R8" s="1">
        <f>Q8/11.25</f>
        <v>95.55555555555556</v>
      </c>
      <c r="S8" s="1">
        <f>R8*1.4</f>
        <v>133.77777777777777</v>
      </c>
      <c r="T8" s="1">
        <f>S8*1.1</f>
        <v>147.15555555555557</v>
      </c>
      <c r="U8" s="1">
        <f>T8*1.2</f>
        <v>176.58666666666667</v>
      </c>
      <c r="V8" s="1">
        <f>U8*1.2</f>
        <v>211.904</v>
      </c>
      <c r="W8" s="1">
        <f>V8*1.1</f>
        <v>233.0944</v>
      </c>
      <c r="X8" s="1">
        <f>W8</f>
        <v>233.0944</v>
      </c>
      <c r="Y8" s="2">
        <v>0.4</v>
      </c>
      <c r="Z8" s="1">
        <f>X8*(1+Y8)</f>
        <v>326.33216</v>
      </c>
      <c r="AA8">
        <v>18</v>
      </c>
      <c r="AB8">
        <v>34.5</v>
      </c>
      <c r="AC8">
        <v>24</v>
      </c>
      <c r="AD8">
        <v>0</v>
      </c>
      <c r="AE8">
        <v>2</v>
      </c>
      <c r="AF8" t="str">
        <v>Base kitchen cabinet with pull-out waste bin (18")</v>
      </c>
      <c r="AG8" t="str">
        <v>Pull-out waste bin (18")</v>
      </c>
    </row>
    <row r="9" hidden="1">
      <c r="A9" t="str">
        <v>S8-B18-PO-muf</v>
      </c>
      <c r="E9" t="b">
        <f>IF(OR(B9=TRUE,C9=TRUE,D9=TRUE),FALSE,TRUE)</f>
        <v>1</v>
      </c>
      <c r="G9" t="str">
        <v>DRGBBC18</v>
      </c>
      <c r="H9" t="str">
        <f>IF(ISNUMBER(SEARCH("muf",A9)),"Chêne blanc","Blanc")</f>
        <v>Chêne blanc</v>
      </c>
      <c r="I9" t="str">
        <f>CONCAT(G9,IF(H9="","",IF(H9="Blanc","-CW","-WWO")))</f>
        <v>DRGBBC18-WWO</v>
      </c>
      <c r="J9" t="str">
        <f>IFERROR(VLOOKUP(K9,Categories!$A$2:$C$41,2,FALSE()),"⚠ slug introuvable")</f>
        <v>base-cabinet</v>
      </c>
      <c r="K9" t="str">
        <v>base-cabinet-garbage-pull-out</v>
      </c>
      <c r="L9" t="str">
        <f>IFERROR(VLOOKUP(J9,Categories!$A$2:$C$41,3,FALSE()),"⚠ slug introuvable")</f>
        <v>Armoire du bas</v>
      </c>
      <c r="M9" t="str">
        <f>IFERROR(VLOOKUP(K9,Categories!$A$2:$C$41,3,FALSE()),"⚠ slug introuvable")</f>
        <v>Tiroir à déchets</v>
      </c>
      <c r="N9" t="str">
        <v>Armoire de cuisine du bas avec tiroir à déchets coulissant</v>
      </c>
      <c r="O9" t="str">
        <f>CONCAT(N9," (",AA9,""")")</f>
        <v>Armoire de cuisine du bas avec tiroir à déchets coulissant (18")</v>
      </c>
      <c r="P9" t="str">
        <f>CONCAT("Tiroir à déchets coulissant"," (",AA9,""")")</f>
        <v>Tiroir à déchets coulissant (18")</v>
      </c>
      <c r="Q9" s="1">
        <v>1525.05</v>
      </c>
      <c r="R9" s="1">
        <f>Q9/11.25</f>
        <v>135.56</v>
      </c>
      <c r="S9" s="1">
        <f>R9*1.4</f>
        <v>189.784</v>
      </c>
      <c r="T9" s="1">
        <f>S9*1.1</f>
        <v>208.7624</v>
      </c>
      <c r="U9" s="1">
        <f>T9*1.2</f>
        <v>250.51488</v>
      </c>
      <c r="V9" s="1">
        <f>U9*1.2</f>
        <v>300.617856</v>
      </c>
      <c r="W9" s="1">
        <f>V9*1.1</f>
        <v>330.6796416</v>
      </c>
      <c r="X9" s="1">
        <f>W9</f>
        <v>330.6796416</v>
      </c>
      <c r="Y9" s="2">
        <v>0.4</v>
      </c>
      <c r="Z9" s="1">
        <f>X9*(1+Y9)</f>
        <v>462.95149824</v>
      </c>
      <c r="AA9">
        <v>18</v>
      </c>
      <c r="AB9">
        <v>34.5</v>
      </c>
      <c r="AC9">
        <v>24</v>
      </c>
      <c r="AD9">
        <v>0</v>
      </c>
      <c r="AE9">
        <v>2</v>
      </c>
      <c r="AF9" t="str">
        <v>Base kitchen cabinet with pull-out waste bin (18")</v>
      </c>
      <c r="AG9" t="str">
        <v>Pull-out waste bin (18")</v>
      </c>
    </row>
    <row r="10" hidden="1">
      <c r="A10" t="str">
        <v>S8-B21</v>
      </c>
      <c r="B10" t="b">
        <v>1</v>
      </c>
      <c r="E10" t="b">
        <f>IF(OR(B10=TRUE,C10=TRUE,D10=TRUE),FALSE,TRUE)</f>
        <v>0</v>
      </c>
      <c r="G10" t="str">
        <v>DRDOBC21</v>
      </c>
      <c r="H10" t="str">
        <f>IF(ISNUMBER(SEARCH("muf",A10)),"Chêne blanc","Blanc")</f>
        <v>Blanc</v>
      </c>
      <c r="I10" t="str">
        <f>CONCAT(G10,IF(H10="","",IF(H10="Blanc","-CW","-WWO")))</f>
        <v>DRDOBC21-CW</v>
      </c>
      <c r="J10" t="str">
        <f>IFERROR(VLOOKUP(K10,Categories!$A$2:$C$41,2,FALSE()),"⚠ slug introuvable")</f>
        <v>base-cabinet</v>
      </c>
      <c r="K10" t="str">
        <v>base-cabinet-standard</v>
      </c>
      <c r="L10" t="str">
        <f>IFERROR(VLOOKUP(J10,Categories!$A$2:$C$41,3,FALSE()),"⚠ slug introuvable")</f>
        <v>Armoire du bas</v>
      </c>
      <c r="M10" t="str">
        <f>IFERROR(VLOOKUP(K10,Categories!$A$2:$C$41,3,FALSE()),"⚠ slug introuvable")</f>
        <v>Standard</v>
      </c>
      <c r="N10" t="str">
        <v>Armoire de cuisine du bas avec 1 tiroir et 1 porte</v>
      </c>
      <c r="O10" t="str">
        <f>CONCAT(N10," (",AA10,""")")</f>
        <v>Armoire de cuisine du bas avec 1 tiroir et 1 porte (21")</v>
      </c>
      <c r="P10" t="str">
        <f>CONCAT("1 tiroir et 1 porte"," (",AA10,""")")</f>
        <v>1 tiroir et 1 porte (21")</v>
      </c>
      <c r="Q10" s="1">
        <v>0</v>
      </c>
      <c r="R10" s="1">
        <f>Q10/11.25</f>
        <v>0</v>
      </c>
      <c r="S10" s="1">
        <f>R10*1.4</f>
        <v>0</v>
      </c>
      <c r="T10" s="1">
        <f>S10*1.1</f>
        <v>0</v>
      </c>
      <c r="U10" s="1">
        <f>T10*1.2</f>
        <v>0</v>
      </c>
      <c r="V10" s="1">
        <f>U10*1.2</f>
        <v>0</v>
      </c>
      <c r="W10" s="1">
        <f>V10*1.1</f>
        <v>0</v>
      </c>
      <c r="X10" s="1">
        <f>W10</f>
        <v>0</v>
      </c>
      <c r="Y10" s="2">
        <v>0.4</v>
      </c>
      <c r="Z10" s="1">
        <f>X10*(1+Y10)</f>
        <v>0</v>
      </c>
      <c r="AA10">
        <v>21</v>
      </c>
      <c r="AB10">
        <v>34.5</v>
      </c>
      <c r="AC10">
        <v>24</v>
      </c>
      <c r="AD10">
        <v>1</v>
      </c>
      <c r="AE10">
        <v>1</v>
      </c>
      <c r="AF10" t="str">
        <v>Base kitchen cabinet with 1 drawer and 1 door (21")</v>
      </c>
      <c r="AG10" t="str">
        <v>1 drawer and 1 door (21")</v>
      </c>
    </row>
    <row r="11" hidden="1">
      <c r="A11" t="str">
        <v>S8-B21-muf</v>
      </c>
      <c r="B11" t="b">
        <v>1</v>
      </c>
      <c r="E11" t="b">
        <f>IF(OR(B11=TRUE,C11=TRUE,D11=TRUE),FALSE,TRUE)</f>
        <v>0</v>
      </c>
      <c r="G11" t="str">
        <v>DRDOBC21</v>
      </c>
      <c r="H11" t="str">
        <f>IF(ISNUMBER(SEARCH("muf",A11)),"Chêne blanc","Blanc")</f>
        <v>Chêne blanc</v>
      </c>
      <c r="I11" t="str">
        <f>CONCAT(G11,IF(H11="","",IF(H11="Blanc","-CW","-WWO")))</f>
        <v>DRDOBC21-WWO</v>
      </c>
      <c r="J11" t="str">
        <f>IFERROR(VLOOKUP(K11,Categories!$A$2:$C$41,2,FALSE()),"⚠ slug introuvable")</f>
        <v>base-cabinet</v>
      </c>
      <c r="K11" t="str">
        <v>base-cabinet-standard</v>
      </c>
      <c r="L11" t="str">
        <f>IFERROR(VLOOKUP(J11,Categories!$A$2:$C$41,3,FALSE()),"⚠ slug introuvable")</f>
        <v>Armoire du bas</v>
      </c>
      <c r="M11" t="str">
        <f>IFERROR(VLOOKUP(K11,Categories!$A$2:$C$41,3,FALSE()),"⚠ slug introuvable")</f>
        <v>Standard</v>
      </c>
      <c r="N11" t="str">
        <v>Armoire de cuisine du bas avec 1 tiroir et 1 porte</v>
      </c>
      <c r="O11" t="str">
        <f>CONCAT(N11," (",AA11,""")")</f>
        <v>Armoire de cuisine du bas avec 1 tiroir et 1 porte (21")</v>
      </c>
      <c r="P11" t="str">
        <f>CONCAT("1 tiroir et 1 porte"," (",AA11,""")")</f>
        <v>1 tiroir et 1 porte (21")</v>
      </c>
      <c r="Q11" s="1">
        <v>0</v>
      </c>
      <c r="R11" s="1">
        <f>Q11/11.25</f>
        <v>0</v>
      </c>
      <c r="S11" s="1">
        <f>R11*1.4</f>
        <v>0</v>
      </c>
      <c r="T11" s="1">
        <f>S11*1.1</f>
        <v>0</v>
      </c>
      <c r="U11" s="1">
        <f>T11*1.2</f>
        <v>0</v>
      </c>
      <c r="V11" s="1">
        <f>U11*1.2</f>
        <v>0</v>
      </c>
      <c r="W11" s="1">
        <f>V11*1.1</f>
        <v>0</v>
      </c>
      <c r="X11" s="1">
        <f>W11</f>
        <v>0</v>
      </c>
      <c r="Y11" s="2">
        <v>0.4</v>
      </c>
      <c r="Z11" s="1">
        <f>X11*(1+Y11)</f>
        <v>0</v>
      </c>
      <c r="AA11">
        <v>21</v>
      </c>
      <c r="AB11">
        <v>34.5</v>
      </c>
      <c r="AC11">
        <v>24</v>
      </c>
      <c r="AD11">
        <v>1</v>
      </c>
      <c r="AE11">
        <v>1</v>
      </c>
      <c r="AF11" t="str">
        <v>Base kitchen cabinet with 1 drawer and 1 door (21")</v>
      </c>
      <c r="AG11" t="str">
        <v>1 drawer and 1 door (21")</v>
      </c>
    </row>
    <row r="12" hidden="1">
      <c r="A12" t="str">
        <v>S8-BBC42</v>
      </c>
      <c r="E12" t="b">
        <f>IF(OR(B12=TRUE,C12=TRUE,D12=TRUE),FALSE,TRUE)</f>
        <v>1</v>
      </c>
      <c r="G12" t="str">
        <v>BCBC42</v>
      </c>
      <c r="H12" t="str">
        <f>IF(ISNUMBER(SEARCH("muf",A12)),"Chêne blanc","Blanc")</f>
        <v>Blanc</v>
      </c>
      <c r="I12" t="str">
        <f>CONCAT(G12,IF(H12="","",IF(H12="Blanc","-CW","-WWO")))</f>
        <v>BCBC42-CW</v>
      </c>
      <c r="J12" t="str">
        <f>IFERROR(VLOOKUP(K12,Categories!$A$2:$C$41,2,FALSE()),"⚠ slug introuvable")</f>
        <v>base-cabinet</v>
      </c>
      <c r="K12" t="str">
        <v>base-cabinet-corner</v>
      </c>
      <c r="L12" t="str">
        <f>IFERROR(VLOOKUP(J12,Categories!$A$2:$C$41,3,FALSE()),"⚠ slug introuvable")</f>
        <v>Armoire du bas</v>
      </c>
      <c r="M12" t="str">
        <f>IFERROR(VLOOKUP(K12,Categories!$A$2:$C$41,3,FALSE()),"⚠ slug introuvable")</f>
        <v>Coin</v>
      </c>
      <c r="N12" t="str">
        <v>Armoire de cuisine du bas coin mort</v>
      </c>
      <c r="O12" t="str">
        <f>CONCAT(N12," (",AA12,""")")</f>
        <v>Armoire de cuisine du bas coin mort (42")</v>
      </c>
      <c r="P12" t="str">
        <f>CONCAT("Coin mort"," (",AA12,""")")</f>
        <v>Coin mort (42")</v>
      </c>
      <c r="Q12" s="1">
        <v>1076</v>
      </c>
      <c r="R12" s="1">
        <f>Q12/11.25</f>
        <v>95.64444444444445</v>
      </c>
      <c r="S12" s="1">
        <f>R12*1.4</f>
        <v>133.9022222222222</v>
      </c>
      <c r="T12" s="1">
        <f>S12*1.1</f>
        <v>147.29244444444444</v>
      </c>
      <c r="U12" s="1">
        <f>T12*1.2</f>
        <v>176.75093333333334</v>
      </c>
      <c r="V12" s="1">
        <f>U12*1.2</f>
        <v>212.10112</v>
      </c>
      <c r="W12" s="1">
        <f>V12*1.1</f>
        <v>233.31123200000002</v>
      </c>
      <c r="X12" s="1">
        <f>W12</f>
        <v>233.31123200000002</v>
      </c>
      <c r="Y12" s="2">
        <v>0.4</v>
      </c>
      <c r="Z12" s="1">
        <f>X12*(1+Y12)</f>
        <v>326.6357248</v>
      </c>
      <c r="AA12">
        <v>42</v>
      </c>
      <c r="AB12">
        <v>34.5</v>
      </c>
      <c r="AC12">
        <v>24</v>
      </c>
      <c r="AD12">
        <v>1</v>
      </c>
      <c r="AE12">
        <v>0</v>
      </c>
      <c r="AF12" t="str">
        <v>Base kitchen blind-corner cabinet (42")</v>
      </c>
      <c r="AG12" t="str">
        <v>Blind corner (42")</v>
      </c>
    </row>
    <row r="13" hidden="1">
      <c r="A13" t="str">
        <v>S8-BBC42-muf</v>
      </c>
      <c r="E13" t="b">
        <f>IF(OR(B13=TRUE,C13=TRUE,D13=TRUE),FALSE,TRUE)</f>
        <v>1</v>
      </c>
      <c r="G13" t="str">
        <v>BCBC42</v>
      </c>
      <c r="H13" t="str">
        <f>IF(ISNUMBER(SEARCH("muf",A13)),"Chêne blanc","Blanc")</f>
        <v>Chêne blanc</v>
      </c>
      <c r="I13" t="str">
        <f>CONCAT(G13,IF(H13="","",IF(H13="Blanc","-CW","-WWO")))</f>
        <v>BCBC42-WWO</v>
      </c>
      <c r="J13" t="str">
        <f>IFERROR(VLOOKUP(K13,Categories!$A$2:$C$41,2,FALSE()),"⚠ slug introuvable")</f>
        <v>base-cabinet</v>
      </c>
      <c r="K13" t="str">
        <v>base-cabinet-corner</v>
      </c>
      <c r="L13" t="str">
        <f>IFERROR(VLOOKUP(J13,Categories!$A$2:$C$41,3,FALSE()),"⚠ slug introuvable")</f>
        <v>Armoire du bas</v>
      </c>
      <c r="M13" t="str">
        <f>IFERROR(VLOOKUP(K13,Categories!$A$2:$C$41,3,FALSE()),"⚠ slug introuvable")</f>
        <v>Coin</v>
      </c>
      <c r="N13" t="str">
        <v>Armoire de cuisine du bas coin mort</v>
      </c>
      <c r="O13" t="str">
        <f>CONCAT(N13," (",AA13,""")")</f>
        <v>Armoire de cuisine du bas coin mort (42")</v>
      </c>
      <c r="P13" t="str">
        <f>CONCAT("Coin mort"," (",AA13,""")")</f>
        <v>Coin mort (42")</v>
      </c>
      <c r="Q13" s="1">
        <v>1585.46</v>
      </c>
      <c r="R13" s="1">
        <f>Q13/11.25</f>
        <v>140.9297777777778</v>
      </c>
      <c r="S13" s="1">
        <f>R13*1.4</f>
        <v>197.3016888888889</v>
      </c>
      <c r="T13" s="1">
        <f>S13*1.1</f>
        <v>217.0318577777778</v>
      </c>
      <c r="U13" s="1">
        <f>T13*1.2</f>
        <v>260.4382293333333</v>
      </c>
      <c r="V13" s="1">
        <f>U13*1.2</f>
        <v>312.5258752</v>
      </c>
      <c r="W13" s="1">
        <f>V13*1.1</f>
        <v>343.77846272</v>
      </c>
      <c r="X13" s="1">
        <f>W13</f>
        <v>343.77846272</v>
      </c>
      <c r="Y13" s="2">
        <v>0.4</v>
      </c>
      <c r="Z13" s="1">
        <f>X13*(1+Y13)</f>
        <v>481.28984780799993</v>
      </c>
      <c r="AA13">
        <v>42</v>
      </c>
      <c r="AB13">
        <v>34.5</v>
      </c>
      <c r="AC13">
        <v>24</v>
      </c>
      <c r="AD13">
        <v>1</v>
      </c>
      <c r="AE13">
        <v>0</v>
      </c>
      <c r="AF13" t="str">
        <v>Base kitchen blind-corner cabinet (42")</v>
      </c>
      <c r="AG13" t="str">
        <v>Blind corner (42")</v>
      </c>
    </row>
    <row r="14" hidden="1">
      <c r="A14" t="str">
        <v>S8-BBC45</v>
      </c>
      <c r="E14" t="b">
        <f>IF(OR(B14=TRUE,C14=TRUE,D14=TRUE),FALSE,TRUE)</f>
        <v>1</v>
      </c>
      <c r="G14" t="str">
        <v>BCBC45</v>
      </c>
      <c r="H14" t="str">
        <f>IF(ISNUMBER(SEARCH("muf",A14)),"Chêne blanc","Blanc")</f>
        <v>Blanc</v>
      </c>
      <c r="I14" t="str">
        <f>CONCAT(G14,IF(H14="","",IF(H14="Blanc","-CW","-WWO")))</f>
        <v>BCBC45-CW</v>
      </c>
      <c r="J14" t="str">
        <f>IFERROR(VLOOKUP(K14,Categories!$A$2:$C$41,2,FALSE()),"⚠ slug introuvable")</f>
        <v>base-cabinet</v>
      </c>
      <c r="K14" t="str">
        <v>base-cabinet-corner</v>
      </c>
      <c r="L14" t="str">
        <f>IFERROR(VLOOKUP(J14,Categories!$A$2:$C$41,3,FALSE()),"⚠ slug introuvable")</f>
        <v>Armoire du bas</v>
      </c>
      <c r="M14" t="str">
        <f>IFERROR(VLOOKUP(K14,Categories!$A$2:$C$41,3,FALSE()),"⚠ slug introuvable")</f>
        <v>Coin</v>
      </c>
      <c r="N14" t="str">
        <v>Armoire de cuisine du bas coin mort</v>
      </c>
      <c r="O14" t="str">
        <f>CONCAT(N14," (",AA14,""")")</f>
        <v>Armoire de cuisine du bas coin mort (45")</v>
      </c>
      <c r="P14" t="str">
        <f>CONCAT("Coin mort"," (",AA14,""")")</f>
        <v>Coin mort (45")</v>
      </c>
      <c r="Q14" s="1">
        <v>1165</v>
      </c>
      <c r="R14" s="1">
        <f>Q14/11.25</f>
        <v>103.55555555555556</v>
      </c>
      <c r="S14" s="1">
        <f>R14*1.4</f>
        <v>144.97777777777776</v>
      </c>
      <c r="T14" s="1">
        <f>S14*1.1</f>
        <v>159.47555555555556</v>
      </c>
      <c r="U14" s="1">
        <f>T14*1.2</f>
        <v>191.37066666666666</v>
      </c>
      <c r="V14" s="1">
        <f>U14*1.2</f>
        <v>229.6448</v>
      </c>
      <c r="W14" s="1">
        <f>V14*1.1</f>
        <v>252.60928</v>
      </c>
      <c r="X14" s="1">
        <f>W14</f>
        <v>252.60928</v>
      </c>
      <c r="Y14" s="2">
        <v>0.4</v>
      </c>
      <c r="Z14" s="1">
        <f>X14*(1+Y14)</f>
        <v>353.652992</v>
      </c>
      <c r="AA14">
        <v>45</v>
      </c>
      <c r="AB14">
        <v>34.5</v>
      </c>
      <c r="AC14">
        <v>24</v>
      </c>
      <c r="AD14">
        <v>1</v>
      </c>
      <c r="AE14">
        <v>0</v>
      </c>
      <c r="AF14" t="str">
        <v>Base kitchen blind-corner cabinet (45")</v>
      </c>
      <c r="AG14" t="str">
        <v>Blind corner (45")</v>
      </c>
    </row>
    <row r="15" hidden="1">
      <c r="A15" t="str">
        <v>S8-BBC45-muf</v>
      </c>
      <c r="E15" t="b">
        <f>IF(OR(B15=TRUE,C15=TRUE,D15=TRUE),FALSE,TRUE)</f>
        <v>1</v>
      </c>
      <c r="G15" t="str">
        <v>BCBC45</v>
      </c>
      <c r="H15" t="str">
        <f>IF(ISNUMBER(SEARCH("muf",A15)),"Chêne blanc","Blanc")</f>
        <v>Chêne blanc</v>
      </c>
      <c r="I15" t="str">
        <f>CONCAT(G15,IF(H15="","",IF(H15="Blanc","-CW","-WWO")))</f>
        <v>BCBC45-WWO</v>
      </c>
      <c r="J15" t="str">
        <f>IFERROR(VLOOKUP(K15,Categories!$A$2:$C$41,2,FALSE()),"⚠ slug introuvable")</f>
        <v>base-cabinet</v>
      </c>
      <c r="K15" t="str">
        <v>base-cabinet-corner</v>
      </c>
      <c r="L15" t="str">
        <f>IFERROR(VLOOKUP(J15,Categories!$A$2:$C$41,3,FALSE()),"⚠ slug introuvable")</f>
        <v>Armoire du bas</v>
      </c>
      <c r="M15" t="str">
        <f>IFERROR(VLOOKUP(K15,Categories!$A$2:$C$41,3,FALSE()),"⚠ slug introuvable")</f>
        <v>Coin</v>
      </c>
      <c r="N15" t="str">
        <v>Armoire de cuisine du bas coin mort</v>
      </c>
      <c r="O15" t="str">
        <f>CONCAT(N15," (",AA15,""")")</f>
        <v>Armoire de cuisine du bas coin mort (45")</v>
      </c>
      <c r="P15" t="str">
        <f>CONCAT("Coin mort"," (",AA15,""")")</f>
        <v>Coin mort (45")</v>
      </c>
      <c r="Q15" s="1">
        <v>1681.31</v>
      </c>
      <c r="R15" s="1">
        <f>Q15/11.25</f>
        <v>149.44977777777777</v>
      </c>
      <c r="S15" s="1">
        <f>R15*1.4</f>
        <v>209.22968888888886</v>
      </c>
      <c r="T15" s="1">
        <f>S15*1.1</f>
        <v>230.15265777777776</v>
      </c>
      <c r="U15" s="1">
        <f>T15*1.2</f>
        <v>276.1831893333333</v>
      </c>
      <c r="V15" s="1">
        <f>U15*1.2</f>
        <v>331.41982719999993</v>
      </c>
      <c r="W15" s="1">
        <f>V15*1.1</f>
        <v>364.56180992</v>
      </c>
      <c r="X15" s="1">
        <f>W15</f>
        <v>364.56180992</v>
      </c>
      <c r="Y15" s="2">
        <v>0.4</v>
      </c>
      <c r="Z15" s="1">
        <f>X15*(1+Y15)</f>
        <v>510.3865338879999</v>
      </c>
      <c r="AA15">
        <v>45</v>
      </c>
      <c r="AB15">
        <v>34.5</v>
      </c>
      <c r="AC15">
        <v>24</v>
      </c>
      <c r="AD15">
        <v>1</v>
      </c>
      <c r="AE15">
        <v>0</v>
      </c>
      <c r="AF15" t="str">
        <v>Base kitchen blind-corner cabinet (45")</v>
      </c>
      <c r="AG15" t="str">
        <v>Blind corner (45")</v>
      </c>
    </row>
    <row r="16" hidden="1">
      <c r="A16" t="str">
        <v>S8-BBC48</v>
      </c>
      <c r="E16" t="b">
        <f>IF(OR(B16=TRUE,C16=TRUE,D16=TRUE),FALSE,TRUE)</f>
        <v>1</v>
      </c>
      <c r="G16" t="str">
        <v>BCBC48</v>
      </c>
      <c r="H16" t="str">
        <f>IF(ISNUMBER(SEARCH("muf",A16)),"Chêne blanc","Blanc")</f>
        <v>Blanc</v>
      </c>
      <c r="I16" t="str">
        <f>CONCAT(G16,IF(H16="","",IF(H16="Blanc","-CW","-WWO")))</f>
        <v>BCBC48-CW</v>
      </c>
      <c r="J16" t="str">
        <f>IFERROR(VLOOKUP(K16,Categories!$A$2:$C$41,2,FALSE()),"⚠ slug introuvable")</f>
        <v>base-cabinet</v>
      </c>
      <c r="K16" t="str">
        <v>base-cabinet-corner</v>
      </c>
      <c r="L16" t="str">
        <f>IFERROR(VLOOKUP(J16,Categories!$A$2:$C$41,3,FALSE()),"⚠ slug introuvable")</f>
        <v>Armoire du bas</v>
      </c>
      <c r="M16" t="str">
        <f>IFERROR(VLOOKUP(K16,Categories!$A$2:$C$41,3,FALSE()),"⚠ slug introuvable")</f>
        <v>Coin</v>
      </c>
      <c r="N16" t="str">
        <v>Armoire de cuisine du bas coin mort</v>
      </c>
      <c r="O16" t="str">
        <f>CONCAT(N16," (",AA16,""")")</f>
        <v>Armoire de cuisine du bas coin mort (48")</v>
      </c>
      <c r="P16" t="str">
        <f>CONCAT("Coin mort"," (",AA16,""")")</f>
        <v>Coin mort (48")</v>
      </c>
      <c r="Q16" s="1">
        <v>1252</v>
      </c>
      <c r="R16" s="1">
        <f>Q16/11.25</f>
        <v>111.28888888888889</v>
      </c>
      <c r="S16" s="1">
        <f>R16*1.4</f>
        <v>155.80444444444444</v>
      </c>
      <c r="T16" s="1">
        <f>S16*1.1</f>
        <v>171.3848888888889</v>
      </c>
      <c r="U16" s="1">
        <f>T16*1.2</f>
        <v>205.66186666666667</v>
      </c>
      <c r="V16" s="1">
        <f>U16*1.2</f>
        <v>246.79424</v>
      </c>
      <c r="W16" s="1">
        <f>V16*1.1</f>
        <v>271.47366400000004</v>
      </c>
      <c r="X16" s="1">
        <f>W16</f>
        <v>271.47366400000004</v>
      </c>
      <c r="Y16" s="2">
        <v>0.4</v>
      </c>
      <c r="Z16" s="1">
        <f>X16*(1+Y16)</f>
        <v>380.0631296</v>
      </c>
      <c r="AA16">
        <v>48</v>
      </c>
      <c r="AB16">
        <v>34.5</v>
      </c>
      <c r="AC16">
        <v>24</v>
      </c>
      <c r="AD16">
        <v>1</v>
      </c>
      <c r="AE16">
        <v>0</v>
      </c>
      <c r="AF16" t="str">
        <v>Base kitchen blind-corner cabinet (48")</v>
      </c>
      <c r="AG16" t="str">
        <v>Blind corner (48")</v>
      </c>
    </row>
    <row r="17" hidden="1">
      <c r="A17" t="str">
        <v>S8-BBC48-muf</v>
      </c>
      <c r="E17" t="b">
        <f>IF(OR(B17=TRUE,C17=TRUE,D17=TRUE),FALSE,TRUE)</f>
        <v>1</v>
      </c>
      <c r="G17" t="str">
        <v>BCBC48</v>
      </c>
      <c r="H17" t="str">
        <f>IF(ISNUMBER(SEARCH("muf",A17)),"Chêne blanc","Blanc")</f>
        <v>Chêne blanc</v>
      </c>
      <c r="I17" t="str">
        <f>CONCAT(G17,IF(H17="","",IF(H17="Blanc","-CW","-WWO")))</f>
        <v>BCBC48-WWO</v>
      </c>
      <c r="J17" t="str">
        <f>IFERROR(VLOOKUP(K17,Categories!$A$2:$C$41,2,FALSE()),"⚠ slug introuvable")</f>
        <v>base-cabinet</v>
      </c>
      <c r="K17" t="str">
        <v>base-cabinet-corner</v>
      </c>
      <c r="L17" t="str">
        <f>IFERROR(VLOOKUP(J17,Categories!$A$2:$C$41,3,FALSE()),"⚠ slug introuvable")</f>
        <v>Armoire du bas</v>
      </c>
      <c r="M17" t="str">
        <f>IFERROR(VLOOKUP(K17,Categories!$A$2:$C$41,3,FALSE()),"⚠ slug introuvable")</f>
        <v>Coin</v>
      </c>
      <c r="N17" t="str">
        <v>Armoire de cuisine du bas coin mort</v>
      </c>
      <c r="O17" t="str">
        <f>CONCAT(N17," (",AA17,""")")</f>
        <v>Armoire de cuisine du bas coin mort (48")</v>
      </c>
      <c r="P17" t="str">
        <f>CONCAT("Coin mort"," (",AA17,""")")</f>
        <v>Coin mort (48")</v>
      </c>
      <c r="Q17" s="1">
        <v>1984.61</v>
      </c>
      <c r="R17" s="1">
        <f>Q17/11.25</f>
        <v>176.40977777777778</v>
      </c>
      <c r="S17" s="1">
        <f>R17*1.4</f>
        <v>246.97368888888886</v>
      </c>
      <c r="T17" s="1">
        <f>S17*1.1</f>
        <v>271.6710577777778</v>
      </c>
      <c r="U17" s="1">
        <f>T17*1.2</f>
        <v>326.00526933333333</v>
      </c>
      <c r="V17" s="1">
        <f>U17*1.2</f>
        <v>391.2063232</v>
      </c>
      <c r="W17" s="1">
        <f>V17*1.1</f>
        <v>430.32695552</v>
      </c>
      <c r="X17" s="1">
        <f>W17</f>
        <v>430.32695552</v>
      </c>
      <c r="Y17" s="2">
        <v>0.4</v>
      </c>
      <c r="Z17" s="1">
        <f>X17*(1+Y17)</f>
        <v>602.457737728</v>
      </c>
      <c r="AA17">
        <v>48</v>
      </c>
      <c r="AB17">
        <v>34.5</v>
      </c>
      <c r="AC17">
        <v>24</v>
      </c>
      <c r="AD17">
        <v>1</v>
      </c>
      <c r="AE17">
        <v>0</v>
      </c>
      <c r="AF17" t="str">
        <v>Base kitchen blind-corner cabinet (48")</v>
      </c>
      <c r="AG17" t="str">
        <v>Blind corner (48")</v>
      </c>
    </row>
    <row r="18" hidden="1">
      <c r="A18" t="str">
        <v>S8-BDD12.75*36</v>
      </c>
      <c r="E18" t="b">
        <f>IF(OR(B18=TRUE,C18=TRUE,D18=TRUE),FALSE,TRUE)</f>
        <v>1</v>
      </c>
      <c r="G18" t="str">
        <v>DDBC12.75-36</v>
      </c>
      <c r="H18" t="str">
        <f>IF(ISNUMBER(SEARCH("muf",A18)),"Chêne blanc","Blanc")</f>
        <v>Blanc</v>
      </c>
      <c r="I18" t="str">
        <f>CONCAT(G18,IF(H18="","",IF(H18="Blanc","-CW","-WWO")))</f>
        <v>DDBC12.75-36-CW</v>
      </c>
      <c r="J18" t="str">
        <v>fillers-panels-moldings</v>
      </c>
      <c r="K18" t="str">
        <v>dummy-door</v>
      </c>
      <c r="L18" t="str">
        <f>IFERROR(VLOOKUP(J18,Categories!$A$2:$C$41,3,FALSE()),"⚠ slug introuvable")</f>
        <v>Fillers, panneaux &amp; moulures</v>
      </c>
      <c r="M18" t="str">
        <f>IFERROR(VLOOKUP(K18,Categories!$A$2:$C$41,3,FALSE()),"⚠ slug introuvable")</f>
        <v>Fausse porte</v>
      </c>
      <c r="N18" t="str">
        <v>Fausse porte pour armoire de cuisine du bas</v>
      </c>
      <c r="O18" t="str">
        <f>CONCAT(N18," (",AA18,""" x ",AB18,""")")</f>
        <v>Fausse porte pour armoire de cuisine du bas (12.75" x 36")</v>
      </c>
      <c r="P18" t="str">
        <f>CONCAT("Fausse porte - Bas"," (",AA18,""" x ",AB18,""")")</f>
        <v>Fausse porte - Bas (12.75" x 36")</v>
      </c>
      <c r="Q18" s="1">
        <v>132</v>
      </c>
      <c r="R18" s="1">
        <f>Q18/11.25</f>
        <v>11.733333333333333</v>
      </c>
      <c r="S18" s="1">
        <f>R18*1.4</f>
        <v>16.426666666666666</v>
      </c>
      <c r="T18" s="1">
        <f>S18*1.1</f>
        <v>18.069333333333333</v>
      </c>
      <c r="U18" s="1">
        <f>T18*1.2</f>
        <v>21.6832</v>
      </c>
      <c r="V18" s="1">
        <f>U18*1.2</f>
        <v>26.01984</v>
      </c>
      <c r="W18" s="1">
        <f>V18*1.1</f>
        <v>28.621824</v>
      </c>
      <c r="X18" s="1">
        <f>W18</f>
        <v>28.621824</v>
      </c>
      <c r="Y18" s="2">
        <v>0.4</v>
      </c>
      <c r="Z18" s="1">
        <f>X18*(1+Y18)</f>
        <v>40.0705536</v>
      </c>
      <c r="AA18">
        <v>12.75</v>
      </c>
      <c r="AB18">
        <v>36</v>
      </c>
      <c r="AC18">
        <v>0.75</v>
      </c>
      <c r="AD18" t="str">
        <v>N/A</v>
      </c>
      <c r="AE18" t="str">
        <v>N/A</v>
      </c>
      <c r="AF18" t="str">
        <v>Dummy door for base kitchen cabinet (12.75" x 36")</v>
      </c>
      <c r="AG18" t="str">
        <v>Dummy door - Base (12.75" x 36")</v>
      </c>
    </row>
    <row r="19" hidden="1">
      <c r="A19" t="str">
        <v>S8-BDD12.75*36-muf</v>
      </c>
      <c r="E19" t="b">
        <f>IF(OR(B19=TRUE,C19=TRUE,D19=TRUE),FALSE,TRUE)</f>
        <v>1</v>
      </c>
      <c r="G19" t="str">
        <v>DDBC12.75-36</v>
      </c>
      <c r="H19" t="str">
        <f>IF(ISNUMBER(SEARCH("muf",A19)),"Chêne blanc","Blanc")</f>
        <v>Chêne blanc</v>
      </c>
      <c r="I19" t="str">
        <f>CONCAT(G19,IF(H19="","",IF(H19="Blanc","-CW","-WWO")))</f>
        <v>DDBC12.75-36-WWO</v>
      </c>
      <c r="J19" t="str">
        <v>fillers-panels-moldings</v>
      </c>
      <c r="K19" t="str">
        <v>dummy-door</v>
      </c>
      <c r="L19" t="str">
        <f>IFERROR(VLOOKUP(J19,Categories!$A$2:$C$41,3,FALSE()),"⚠ slug introuvable")</f>
        <v>Fillers, panneaux &amp; moulures</v>
      </c>
      <c r="M19" t="str">
        <f>IFERROR(VLOOKUP(K19,Categories!$A$2:$C$41,3,FALSE()),"⚠ slug introuvable")</f>
        <v>Fausse porte</v>
      </c>
      <c r="N19" t="str">
        <v>Fausse porte pour armoire de cuisine du bas</v>
      </c>
      <c r="O19" t="str">
        <f>CONCAT(N19," (",AA19,""" x ",AB19,""")")</f>
        <v>Fausse porte pour armoire de cuisine du bas (12.75" x 36")</v>
      </c>
      <c r="P19" t="str">
        <f>CONCAT("Fausse porte - Bas"," (",AA19,""" x ",AB19,""")")</f>
        <v>Fausse porte - Bas (12.75" x 36")</v>
      </c>
      <c r="Q19" s="1">
        <v>193</v>
      </c>
      <c r="R19" s="1">
        <f>Q19/11.25</f>
        <v>17.155555555555555</v>
      </c>
      <c r="S19" s="1">
        <f>R19*1.4</f>
        <v>24.017777777777777</v>
      </c>
      <c r="T19" s="1">
        <f>S19*1.1</f>
        <v>26.419555555555558</v>
      </c>
      <c r="U19" s="1">
        <f>T19*1.2</f>
        <v>31.703466666666667</v>
      </c>
      <c r="V19" s="1">
        <f>U19*1.2</f>
        <v>38.04416</v>
      </c>
      <c r="W19" s="1">
        <f>V19*1.1</f>
        <v>41.848576</v>
      </c>
      <c r="X19" s="1">
        <f>W19</f>
        <v>41.848576</v>
      </c>
      <c r="Y19" s="2">
        <v>0.4</v>
      </c>
      <c r="Z19" s="1">
        <f>X19*(1+Y19)</f>
        <v>58.5880064</v>
      </c>
      <c r="AA19">
        <v>12.75</v>
      </c>
      <c r="AB19">
        <v>36</v>
      </c>
      <c r="AC19">
        <v>0.75</v>
      </c>
      <c r="AD19" t="str">
        <v>N/A</v>
      </c>
      <c r="AE19" t="str">
        <v>N/A</v>
      </c>
      <c r="AF19" t="str">
        <v>Dummy door for base kitchen cabinet (12.75" x 36")</v>
      </c>
      <c r="AG19" t="str">
        <v>Dummy door - Base (12.75" x 36")</v>
      </c>
    </row>
    <row r="20" hidden="1">
      <c r="A20" t="str">
        <v>S8-BDD21.75*36</v>
      </c>
      <c r="E20" t="b">
        <f>IF(OR(B20=TRUE,C20=TRUE,D20=TRUE),FALSE,TRUE)</f>
        <v>1</v>
      </c>
      <c r="G20" t="str">
        <v>DDBC21.75-36</v>
      </c>
      <c r="H20" t="str">
        <f>IF(ISNUMBER(SEARCH("muf",A20)),"Chêne blanc","Blanc")</f>
        <v>Blanc</v>
      </c>
      <c r="I20" t="str">
        <f>CONCAT(G20,IF(H20="","",IF(H20="Blanc","-CW","-WWO")))</f>
        <v>DDBC21.75-36-CW</v>
      </c>
      <c r="J20" t="str">
        <v>fillers-panels-moldings</v>
      </c>
      <c r="K20" t="str">
        <v>dummy-door</v>
      </c>
      <c r="L20" t="str">
        <f>IFERROR(VLOOKUP(J20,Categories!$A$2:$C$41,3,FALSE()),"⚠ slug introuvable")</f>
        <v>Fillers, panneaux &amp; moulures</v>
      </c>
      <c r="M20" t="str">
        <f>IFERROR(VLOOKUP(K20,Categories!$A$2:$C$41,3,FALSE()),"⚠ slug introuvable")</f>
        <v>Fausse porte</v>
      </c>
      <c r="N20" t="str">
        <v>Fausse porte pour armoire de cuisine du bas</v>
      </c>
      <c r="O20" t="str">
        <f>CONCAT(N20," (",AA20,""" x ",AB20,""")")</f>
        <v>Fausse porte pour armoire de cuisine du bas (21.75" x 36")</v>
      </c>
      <c r="P20" t="str">
        <f>CONCAT("Fausse porte - Bas"," (",AA20,""" x ",AB20,""")")</f>
        <v>Fausse porte - Bas (21.75" x 36")</v>
      </c>
      <c r="Q20" s="1">
        <v>209</v>
      </c>
      <c r="R20" s="1">
        <f>Q20/11.25</f>
        <v>18.57777777777778</v>
      </c>
      <c r="S20" s="1">
        <f>R20*1.4</f>
        <v>26.00888888888889</v>
      </c>
      <c r="T20" s="1">
        <f>S20*1.1</f>
        <v>28.609777777777783</v>
      </c>
      <c r="U20" s="1">
        <f>T20*1.2</f>
        <v>34.33173333333334</v>
      </c>
      <c r="V20" s="1">
        <f>U20*1.2</f>
        <v>41.198080000000004</v>
      </c>
      <c r="W20" s="1">
        <f>V20*1.1</f>
        <v>45.31788800000001</v>
      </c>
      <c r="X20" s="1">
        <f>W20</f>
        <v>45.31788800000001</v>
      </c>
      <c r="Y20" s="2">
        <v>0.4</v>
      </c>
      <c r="Z20" s="1">
        <f>X20*(1+Y20)</f>
        <v>63.44504320000001</v>
      </c>
      <c r="AA20">
        <v>21.75</v>
      </c>
      <c r="AB20">
        <v>36</v>
      </c>
      <c r="AC20">
        <v>0.75</v>
      </c>
      <c r="AD20" t="str">
        <v>N/A</v>
      </c>
      <c r="AE20" t="str">
        <v>N/A</v>
      </c>
      <c r="AF20" t="str">
        <v>Dummy door for base kitchen cabinet (21.75" x 36")</v>
      </c>
      <c r="AG20" t="str">
        <v>Dummy door - Base (21.75" x 36")</v>
      </c>
    </row>
    <row r="21" hidden="1">
      <c r="A21" t="str">
        <v>S8-BDD21.75*36-muf</v>
      </c>
      <c r="E21" t="b">
        <f>IF(OR(B21=TRUE,C21=TRUE,D21=TRUE),FALSE,TRUE)</f>
        <v>1</v>
      </c>
      <c r="G21" t="str">
        <v>DDBC21.75-36</v>
      </c>
      <c r="H21" t="str">
        <f>IF(ISNUMBER(SEARCH("muf",A21)),"Chêne blanc","Blanc")</f>
        <v>Chêne blanc</v>
      </c>
      <c r="I21" t="str">
        <f>CONCAT(G21,IF(H21="","",IF(H21="Blanc","-CW","-WWO")))</f>
        <v>DDBC21.75-36-WWO</v>
      </c>
      <c r="J21" t="str">
        <v>fillers-panels-moldings</v>
      </c>
      <c r="K21" t="str">
        <v>dummy-door</v>
      </c>
      <c r="L21" t="str">
        <f>IFERROR(VLOOKUP(J21,Categories!$A$2:$C$41,3,FALSE()),"⚠ slug introuvable")</f>
        <v>Fillers, panneaux &amp; moulures</v>
      </c>
      <c r="M21" t="str">
        <f>IFERROR(VLOOKUP(K21,Categories!$A$2:$C$41,3,FALSE()),"⚠ slug introuvable")</f>
        <v>Fausse porte</v>
      </c>
      <c r="N21" t="str">
        <v>Fausse porte pour armoire de cuisine du bas</v>
      </c>
      <c r="O21" t="str">
        <f>CONCAT(N21," (",AA21,""" x ",AB21,""")")</f>
        <v>Fausse porte pour armoire de cuisine du bas (21.75" x 36")</v>
      </c>
      <c r="P21" t="str">
        <f>CONCAT("Fausse porte - Bas"," (",AA21,""" x ",AB21,""")")</f>
        <v>Fausse porte - Bas (21.75" x 36")</v>
      </c>
      <c r="Q21" s="1">
        <v>307</v>
      </c>
      <c r="R21" s="1">
        <f>Q21/11.25</f>
        <v>27.288888888888888</v>
      </c>
      <c r="S21" s="1">
        <f>R21*1.4</f>
        <v>38.20444444444444</v>
      </c>
      <c r="T21" s="1">
        <f>S21*1.1</f>
        <v>42.02488888888889</v>
      </c>
      <c r="U21" s="1">
        <f>T21*1.2</f>
        <v>50.42986666666666</v>
      </c>
      <c r="V21" s="1">
        <f>U21*1.2</f>
        <v>60.51583999999999</v>
      </c>
      <c r="W21" s="1">
        <f>V21*1.1</f>
        <v>66.56742399999999</v>
      </c>
      <c r="X21" s="1">
        <f>W21</f>
        <v>66.56742399999999</v>
      </c>
      <c r="Y21" s="2">
        <v>0.4</v>
      </c>
      <c r="Z21" s="1">
        <f>X21*(1+Y21)</f>
        <v>93.19439359999998</v>
      </c>
      <c r="AA21">
        <v>21.75</v>
      </c>
      <c r="AB21">
        <v>36</v>
      </c>
      <c r="AC21">
        <v>0.75</v>
      </c>
      <c r="AD21" t="str">
        <v>N/A</v>
      </c>
      <c r="AE21" t="str">
        <v>N/A</v>
      </c>
      <c r="AF21" t="str">
        <v>Dummy door for base kitchen cabinet (21.75" x 36")</v>
      </c>
      <c r="AG21" t="str">
        <v>Dummy door - Base (21.75" x 36")</v>
      </c>
    </row>
    <row r="22" hidden="1">
      <c r="A22" t="str">
        <v>S8-BDD24.75*36</v>
      </c>
      <c r="E22" t="b">
        <f>IF(OR(B22=TRUE,C22=TRUE,D22=TRUE),FALSE,TRUE)</f>
        <v>1</v>
      </c>
      <c r="G22" t="str">
        <v>DDBC24.75-36</v>
      </c>
      <c r="H22" t="str">
        <f>IF(ISNUMBER(SEARCH("muf",A22)),"Chêne blanc","Blanc")</f>
        <v>Blanc</v>
      </c>
      <c r="I22" t="str">
        <f>CONCAT(G22,IF(H22="","",IF(H22="Blanc","-CW","-WWO")))</f>
        <v>DDBC24.75-36-CW</v>
      </c>
      <c r="J22" t="str">
        <v>fillers-panels-moldings</v>
      </c>
      <c r="K22" t="str">
        <v>dummy-door</v>
      </c>
      <c r="L22" t="str">
        <f>IFERROR(VLOOKUP(J22,Categories!$A$2:$C$41,3,FALSE()),"⚠ slug introuvable")</f>
        <v>Fillers, panneaux &amp; moulures</v>
      </c>
      <c r="M22" t="str">
        <f>IFERROR(VLOOKUP(K22,Categories!$A$2:$C$41,3,FALSE()),"⚠ slug introuvable")</f>
        <v>Fausse porte</v>
      </c>
      <c r="N22" t="str">
        <v>Fausse porte pour armoire de cuisine du bas</v>
      </c>
      <c r="O22" t="str">
        <f>CONCAT(N22," (",AA22,""" x ",AB22,""")")</f>
        <v>Fausse porte pour armoire de cuisine du bas (24.75" x 36")</v>
      </c>
      <c r="P22" t="str">
        <f>CONCAT("Fausse porte - Bas"," (",AA22,""" x ",AB22,""")")</f>
        <v>Fausse porte - Bas (24.75" x 36")</v>
      </c>
      <c r="Q22" s="1">
        <v>221</v>
      </c>
      <c r="R22" s="1">
        <f>Q22/11.25</f>
        <v>19.644444444444446</v>
      </c>
      <c r="S22" s="1">
        <f>R22*1.4</f>
        <v>27.502222222222223</v>
      </c>
      <c r="T22" s="1">
        <f>S22*1.1</f>
        <v>30.252444444444446</v>
      </c>
      <c r="U22" s="1">
        <f>T22*1.2</f>
        <v>36.302933333333335</v>
      </c>
      <c r="V22" s="1">
        <f>U22*1.2</f>
        <v>43.563520000000004</v>
      </c>
      <c r="W22" s="1">
        <f>V22*1.1</f>
        <v>47.919872000000005</v>
      </c>
      <c r="X22" s="1">
        <f>W22</f>
        <v>47.919872000000005</v>
      </c>
      <c r="Y22" s="2">
        <v>0.4</v>
      </c>
      <c r="Z22" s="1">
        <f>X22*(1+Y22)</f>
        <v>67.0878208</v>
      </c>
      <c r="AA22">
        <v>24.75</v>
      </c>
      <c r="AB22">
        <v>36</v>
      </c>
      <c r="AC22">
        <v>0.75</v>
      </c>
      <c r="AD22" t="str">
        <v>N/A</v>
      </c>
      <c r="AE22" t="str">
        <v>N/A</v>
      </c>
      <c r="AF22" t="str">
        <v>Dummy door for base kitchen cabinet (24.75" x 36")</v>
      </c>
      <c r="AG22" t="str">
        <v>Dummy door - Base (24.75" x 36")</v>
      </c>
    </row>
    <row r="23" hidden="1">
      <c r="A23" t="str">
        <v>S8-BDD24.75*36-muf</v>
      </c>
      <c r="E23" t="b">
        <f>IF(OR(B23=TRUE,C23=TRUE,D23=TRUE),FALSE,TRUE)</f>
        <v>1</v>
      </c>
      <c r="G23" t="str">
        <v>DDBC24.75-36</v>
      </c>
      <c r="H23" t="str">
        <f>IF(ISNUMBER(SEARCH("muf",A23)),"Chêne blanc","Blanc")</f>
        <v>Chêne blanc</v>
      </c>
      <c r="I23" t="str">
        <f>CONCAT(G23,IF(H23="","",IF(H23="Blanc","-CW","-WWO")))</f>
        <v>DDBC24.75-36-WWO</v>
      </c>
      <c r="J23" t="str">
        <v>fillers-panels-moldings</v>
      </c>
      <c r="K23" t="str">
        <v>dummy-door</v>
      </c>
      <c r="L23" t="str">
        <f>IFERROR(VLOOKUP(J23,Categories!$A$2:$C$41,3,FALSE()),"⚠ slug introuvable")</f>
        <v>Fillers, panneaux &amp; moulures</v>
      </c>
      <c r="M23" t="str">
        <f>IFERROR(VLOOKUP(K23,Categories!$A$2:$C$41,3,FALSE()),"⚠ slug introuvable")</f>
        <v>Fausse porte</v>
      </c>
      <c r="N23" t="str">
        <v>Fausse porte pour armoire de cuisine du bas</v>
      </c>
      <c r="O23" t="str">
        <f>CONCAT(N23," (",AA23,""" x ",AB23,""")")</f>
        <v>Fausse porte pour armoire de cuisine du bas (24.75" x 36")</v>
      </c>
      <c r="P23" t="str">
        <f>CONCAT("Fausse porte - Bas"," (",AA23,""" x ",AB23,""")")</f>
        <v>Fausse porte - Bas (24.75" x 36")</v>
      </c>
      <c r="Q23" s="1">
        <v>661.95</v>
      </c>
      <c r="R23" s="1">
        <f>Q23/11.25</f>
        <v>58.84</v>
      </c>
      <c r="S23" s="1">
        <f>R23*1.4</f>
        <v>82.376</v>
      </c>
      <c r="T23" s="1">
        <f>S23*1.1</f>
        <v>90.61360000000002</v>
      </c>
      <c r="U23" s="1">
        <f>T23*1.2</f>
        <v>108.73632000000002</v>
      </c>
      <c r="V23" s="1">
        <f>U23*1.2</f>
        <v>130.483584</v>
      </c>
      <c r="W23" s="1">
        <f>V23*1.1</f>
        <v>143.53194240000002</v>
      </c>
      <c r="X23" s="1">
        <f>W23</f>
        <v>143.53194240000002</v>
      </c>
      <c r="Y23" s="2">
        <v>0.4</v>
      </c>
      <c r="Z23" s="1">
        <f>X23*(1+Y23)</f>
        <v>200.94471936000002</v>
      </c>
      <c r="AA23">
        <v>24.75</v>
      </c>
      <c r="AB23">
        <v>36</v>
      </c>
      <c r="AC23">
        <v>0.75</v>
      </c>
      <c r="AD23" t="str">
        <v>N/A</v>
      </c>
      <c r="AE23" t="str">
        <v>N/A</v>
      </c>
      <c r="AF23" t="str">
        <v>Dummy door for base kitchen cabinet (24.75" x 36")</v>
      </c>
      <c r="AG23" t="str">
        <v>Dummy door - Base (24.75" x 36")</v>
      </c>
    </row>
    <row r="24" hidden="1">
      <c r="A24" t="str">
        <v>S8-BDD2430</v>
      </c>
      <c r="E24" t="b">
        <f>IF(OR(B24=TRUE,C24=TRUE,D24=TRUE),FALSE,TRUE)</f>
        <v>1</v>
      </c>
      <c r="G24" t="str">
        <v>DDBC24-30</v>
      </c>
      <c r="H24" t="str">
        <f>IF(ISNUMBER(SEARCH("muf",A24)),"Chêne blanc","Blanc")</f>
        <v>Blanc</v>
      </c>
      <c r="I24" t="str">
        <f>CONCAT(G24,IF(H24="","",IF(H24="Blanc","-CW","-WWO")))</f>
        <v>DDBC24-30-CW</v>
      </c>
      <c r="J24" t="str">
        <v>fillers-panels-moldings</v>
      </c>
      <c r="K24" t="str">
        <v>dummy-door</v>
      </c>
      <c r="L24" t="str">
        <f>IFERROR(VLOOKUP(J24,Categories!$A$2:$C$41,3,FALSE()),"⚠ slug introuvable")</f>
        <v>Fillers, panneaux &amp; moulures</v>
      </c>
      <c r="M24" t="str">
        <f>IFERROR(VLOOKUP(K24,Categories!$A$2:$C$41,3,FALSE()),"⚠ slug introuvable")</f>
        <v>Fausse porte</v>
      </c>
      <c r="N24" t="str">
        <v>Fausse porte pour armoire de cuisine du bas</v>
      </c>
      <c r="O24" t="str">
        <f>CONCAT(N24," (",AA24,""" x ",AB24,""")")</f>
        <v>Fausse porte pour armoire de cuisine du bas (24" x 30")</v>
      </c>
      <c r="P24" t="str">
        <f>CONCAT("Fausse porte - Bas"," (",AA24,""" x ",AB24,""")")</f>
        <v>Fausse porte - Bas (24" x 30")</v>
      </c>
      <c r="Q24" s="1">
        <v>169</v>
      </c>
      <c r="R24" s="1">
        <f>Q24/11.25</f>
        <v>15.022222222222222</v>
      </c>
      <c r="S24" s="1">
        <f>R24*1.4</f>
        <v>21.03111111111111</v>
      </c>
      <c r="T24" s="1">
        <f>S24*1.1</f>
        <v>23.13422222222222</v>
      </c>
      <c r="U24" s="1">
        <f>T24*1.2</f>
        <v>27.761066666666665</v>
      </c>
      <c r="V24" s="1">
        <f>U24*1.2</f>
        <v>33.31328</v>
      </c>
      <c r="W24" s="1">
        <f>V24*1.1</f>
        <v>36.644608000000005</v>
      </c>
      <c r="X24" s="1">
        <f>W24</f>
        <v>36.644608000000005</v>
      </c>
      <c r="Y24" s="2">
        <v>0.4</v>
      </c>
      <c r="Z24" s="1">
        <f>X24*(1+Y24)</f>
        <v>51.30245120000001</v>
      </c>
      <c r="AA24">
        <v>24</v>
      </c>
      <c r="AB24">
        <v>30</v>
      </c>
      <c r="AC24">
        <v>0.75</v>
      </c>
      <c r="AD24" t="str">
        <v>N/A</v>
      </c>
      <c r="AE24" t="str">
        <v>N/A</v>
      </c>
      <c r="AF24" t="str">
        <v>Dummy door for base kitchen cabinet (24" x 30")</v>
      </c>
      <c r="AG24" t="str">
        <v>Dummy door - Base (24" x 30")</v>
      </c>
    </row>
    <row r="25" hidden="1">
      <c r="A25" t="str">
        <v>S8-BDD2430-muf</v>
      </c>
      <c r="E25" t="b">
        <f>IF(OR(B25=TRUE,C25=TRUE,D25=TRUE),FALSE,TRUE)</f>
        <v>1</v>
      </c>
      <c r="G25" t="str">
        <v>DDBC24-30</v>
      </c>
      <c r="H25" t="str">
        <f>IF(ISNUMBER(SEARCH("muf",A25)),"Chêne blanc","Blanc")</f>
        <v>Chêne blanc</v>
      </c>
      <c r="I25" t="str">
        <f>CONCAT(G25,IF(H25="","",IF(H25="Blanc","-CW","-WWO")))</f>
        <v>DDBC24-30-WWO</v>
      </c>
      <c r="J25" t="str">
        <v>fillers-panels-moldings</v>
      </c>
      <c r="K25" t="str">
        <v>dummy-door</v>
      </c>
      <c r="L25" t="str">
        <f>IFERROR(VLOOKUP(J25,Categories!$A$2:$C$41,3,FALSE()),"⚠ slug introuvable")</f>
        <v>Fillers, panneaux &amp; moulures</v>
      </c>
      <c r="M25" t="str">
        <f>IFERROR(VLOOKUP(K25,Categories!$A$2:$C$41,3,FALSE()),"⚠ slug introuvable")</f>
        <v>Fausse porte</v>
      </c>
      <c r="N25" t="str">
        <v>Fausse porte pour armoire de cuisine du bas</v>
      </c>
      <c r="O25" t="str">
        <f>CONCAT(N25," (",AA25,""" x ",AB25,""")")</f>
        <v>Fausse porte pour armoire de cuisine du bas (24" x 30")</v>
      </c>
      <c r="P25" t="str">
        <f>CONCAT("Fausse porte - Bas"," (",AA25,""" x ",AB25,""")")</f>
        <v>Fausse porte - Bas (24" x 30")</v>
      </c>
      <c r="Q25" s="1">
        <v>254</v>
      </c>
      <c r="R25" s="1">
        <f>Q25/11.25</f>
        <v>22.57777777777778</v>
      </c>
      <c r="S25" s="1">
        <f>R25*1.4</f>
        <v>31.608888888888888</v>
      </c>
      <c r="T25" s="1">
        <f>S25*1.1</f>
        <v>34.76977777777778</v>
      </c>
      <c r="U25" s="1">
        <f>T25*1.2</f>
        <v>41.723733333333335</v>
      </c>
      <c r="V25" s="1">
        <f>U25*1.2</f>
        <v>50.06848</v>
      </c>
      <c r="W25" s="1">
        <f>V25*1.1</f>
        <v>55.075328000000006</v>
      </c>
      <c r="X25" s="1">
        <f>W25</f>
        <v>55.075328000000006</v>
      </c>
      <c r="Y25" s="2">
        <v>0.4</v>
      </c>
      <c r="Z25" s="1">
        <f>X25*(1+Y25)</f>
        <v>77.1054592</v>
      </c>
      <c r="AA25">
        <v>24</v>
      </c>
      <c r="AB25">
        <v>30</v>
      </c>
      <c r="AC25">
        <v>0.75</v>
      </c>
      <c r="AD25" t="str">
        <v>N/A</v>
      </c>
      <c r="AE25" t="str">
        <v>N/A</v>
      </c>
      <c r="AF25" t="str">
        <v>Dummy door for base kitchen cabinet (24" x 30")</v>
      </c>
      <c r="AG25" t="str">
        <v>Dummy door - Base (24" x 30")</v>
      </c>
    </row>
    <row r="26" hidden="1">
      <c r="A26" t="str">
        <v>S8-BDD25.75*36</v>
      </c>
      <c r="E26" t="b">
        <f>IF(OR(B26=TRUE,C26=TRUE,D26=TRUE),FALSE,TRUE)</f>
        <v>1</v>
      </c>
      <c r="G26" t="str">
        <v>DDBC25.75-36</v>
      </c>
      <c r="H26" t="str">
        <f>IF(ISNUMBER(SEARCH("muf",A26)),"Chêne blanc","Blanc")</f>
        <v>Blanc</v>
      </c>
      <c r="I26" t="str">
        <f>CONCAT(G26,IF(H26="","",IF(H26="Blanc","-CW","-WWO")))</f>
        <v>DDBC25.75-36-CW</v>
      </c>
      <c r="J26" t="str">
        <v>fillers-panels-moldings</v>
      </c>
      <c r="K26" t="str">
        <v>dummy-door</v>
      </c>
      <c r="L26" t="str">
        <f>IFERROR(VLOOKUP(J26,Categories!$A$2:$C$41,3,FALSE()),"⚠ slug introuvable")</f>
        <v>Fillers, panneaux &amp; moulures</v>
      </c>
      <c r="M26" t="str">
        <f>IFERROR(VLOOKUP(K26,Categories!$A$2:$C$41,3,FALSE()),"⚠ slug introuvable")</f>
        <v>Fausse porte</v>
      </c>
      <c r="N26" t="str">
        <v>Fausse porte pour armoire de cuisine du bas</v>
      </c>
      <c r="O26" t="str">
        <f>CONCAT(N26," (",AA26,""" x ",AB26,""")")</f>
        <v>Fausse porte pour armoire de cuisine du bas (25.75" x 36")</v>
      </c>
      <c r="P26" t="str">
        <f>CONCAT("Fausse porte - Bas"," (",AA26,""" x ",AB26,""")")</f>
        <v>Fausse porte - Bas (25.75" x 36")</v>
      </c>
      <c r="Q26" s="1">
        <v>225</v>
      </c>
      <c r="R26" s="1">
        <f>Q26/11.25</f>
        <v>20</v>
      </c>
      <c r="S26" s="1">
        <f>R26*1.4</f>
        <v>28</v>
      </c>
      <c r="T26" s="1">
        <f>S26*1.1</f>
        <v>30.800000000000004</v>
      </c>
      <c r="U26" s="1">
        <f>T26*1.2</f>
        <v>36.96</v>
      </c>
      <c r="V26" s="1">
        <f>U26*1.2</f>
        <v>44.352</v>
      </c>
      <c r="W26" s="1">
        <f>V26*1.1</f>
        <v>48.7872</v>
      </c>
      <c r="X26" s="1">
        <f>W26</f>
        <v>48.7872</v>
      </c>
      <c r="Y26" s="2">
        <v>0.4</v>
      </c>
      <c r="Z26" s="1">
        <f>X26*(1+Y26)</f>
        <v>68.30207999999999</v>
      </c>
      <c r="AA26">
        <v>25.75</v>
      </c>
      <c r="AB26">
        <v>36</v>
      </c>
      <c r="AC26">
        <v>0.75</v>
      </c>
      <c r="AD26" t="str">
        <v>N/A</v>
      </c>
      <c r="AE26" t="str">
        <v>N/A</v>
      </c>
      <c r="AF26" t="str">
        <v>Dummy door for base kitchen cabinet (25.75" x 36")</v>
      </c>
      <c r="AG26" t="str">
        <v>Dummy door - Base (25.75" x 36")</v>
      </c>
    </row>
    <row r="27" hidden="1">
      <c r="A27" t="str">
        <v>S8-BDD25.75*36-muf</v>
      </c>
      <c r="E27" t="b">
        <f>IF(OR(B27=TRUE,C27=TRUE,D27=TRUE),FALSE,TRUE)</f>
        <v>1</v>
      </c>
      <c r="G27" t="str">
        <v>DDBC25.75-36</v>
      </c>
      <c r="H27" t="str">
        <f>IF(ISNUMBER(SEARCH("muf",A27)),"Chêne blanc","Blanc")</f>
        <v>Chêne blanc</v>
      </c>
      <c r="I27" t="str">
        <f>CONCAT(G27,IF(H27="","",IF(H27="Blanc","-CW","-WWO")))</f>
        <v>DDBC25.75-36-WWO</v>
      </c>
      <c r="J27" t="str">
        <v>fillers-panels-moldings</v>
      </c>
      <c r="K27" t="str">
        <v>dummy-door</v>
      </c>
      <c r="L27" t="str">
        <f>IFERROR(VLOOKUP(J27,Categories!$A$2:$C$41,3,FALSE()),"⚠ slug introuvable")</f>
        <v>Fillers, panneaux &amp; moulures</v>
      </c>
      <c r="M27" t="str">
        <f>IFERROR(VLOOKUP(K27,Categories!$A$2:$C$41,3,FALSE()),"⚠ slug introuvable")</f>
        <v>Fausse porte</v>
      </c>
      <c r="N27" t="str">
        <v>Fausse porte pour armoire de cuisine du bas</v>
      </c>
      <c r="O27" t="str">
        <f>CONCAT(N27," (",AA27,""" x ",AB27,""")")</f>
        <v>Fausse porte pour armoire de cuisine du bas (25.75" x 36")</v>
      </c>
      <c r="P27" t="str">
        <f>CONCAT("Fausse porte - Bas"," (",AA27,""" x ",AB27,""")")</f>
        <v>Fausse porte - Bas (25.75" x 36")</v>
      </c>
      <c r="Q27" s="1">
        <v>684.11</v>
      </c>
      <c r="R27" s="1">
        <f>Q27/11.25</f>
        <v>60.80977777777778</v>
      </c>
      <c r="S27" s="1">
        <f>R27*1.4</f>
        <v>85.13368888888888</v>
      </c>
      <c r="T27" s="1">
        <f>S27*1.1</f>
        <v>93.64705777777777</v>
      </c>
      <c r="U27" s="1">
        <f>T27*1.2</f>
        <v>112.37646933333333</v>
      </c>
      <c r="V27" s="1">
        <f>U27*1.2</f>
        <v>134.8517632</v>
      </c>
      <c r="W27" s="1">
        <f>V27*1.1</f>
        <v>148.33693952000002</v>
      </c>
      <c r="X27" s="1">
        <f>W27</f>
        <v>148.33693952000002</v>
      </c>
      <c r="Y27" s="2">
        <v>0.4</v>
      </c>
      <c r="Z27" s="1">
        <f>X27*(1+Y27)</f>
        <v>207.671715328</v>
      </c>
      <c r="AA27">
        <v>25.75</v>
      </c>
      <c r="AB27">
        <v>36</v>
      </c>
      <c r="AC27">
        <v>0.75</v>
      </c>
      <c r="AD27" t="str">
        <v>N/A</v>
      </c>
      <c r="AE27" t="str">
        <v>N/A</v>
      </c>
      <c r="AF27" t="str">
        <v>Dummy door for base kitchen cabinet (25.75" x 36")</v>
      </c>
      <c r="AG27" t="str">
        <v>Dummy door - Base (25.75" x 36")</v>
      </c>
    </row>
    <row r="28" hidden="1">
      <c r="A28" t="str">
        <v>S8-BDD2730</v>
      </c>
      <c r="E28" t="b">
        <f>IF(OR(B28=TRUE,C28=TRUE,D28=TRUE),FALSE,TRUE)</f>
        <v>1</v>
      </c>
      <c r="G28" t="str">
        <v>DDBC27-30</v>
      </c>
      <c r="H28" t="str">
        <f>IF(ISNUMBER(SEARCH("muf",A28)),"Chêne blanc","Blanc")</f>
        <v>Blanc</v>
      </c>
      <c r="I28" t="str">
        <f>CONCAT(G28,IF(H28="","",IF(H28="Blanc","-CW","-WWO")))</f>
        <v>DDBC27-30-CW</v>
      </c>
      <c r="J28" t="str">
        <v>fillers-panels-moldings</v>
      </c>
      <c r="K28" t="str">
        <v>dummy-door</v>
      </c>
      <c r="L28" t="str">
        <f>IFERROR(VLOOKUP(J28,Categories!$A$2:$C$41,3,FALSE()),"⚠ slug introuvable")</f>
        <v>Fillers, panneaux &amp; moulures</v>
      </c>
      <c r="M28" t="str">
        <f>IFERROR(VLOOKUP(K28,Categories!$A$2:$C$41,3,FALSE()),"⚠ slug introuvable")</f>
        <v>Fausse porte</v>
      </c>
      <c r="N28" t="str">
        <v>Fausse porte pour armoire de cuisine du bas</v>
      </c>
      <c r="O28" t="str">
        <f>CONCAT(N28," (",AA28,""" x ",AB28,""")")</f>
        <v>Fausse porte pour armoire de cuisine du bas (27" x 30")</v>
      </c>
      <c r="P28" t="str">
        <f>CONCAT("Fausse porte - Bas"," (",AA28,""" x ",AB28,""")")</f>
        <v>Fausse porte - Bas (27" x 30")</v>
      </c>
      <c r="Q28" s="1">
        <v>196</v>
      </c>
      <c r="R28" s="1">
        <f>Q28/11.25</f>
        <v>17.42222222222222</v>
      </c>
      <c r="S28" s="1">
        <f>R28*1.4</f>
        <v>24.39111111111111</v>
      </c>
      <c r="T28" s="1">
        <f>S28*1.1</f>
        <v>26.830222222222222</v>
      </c>
      <c r="U28" s="1">
        <f>T28*1.2</f>
        <v>32.196266666666666</v>
      </c>
      <c r="V28" s="1">
        <f>U28*1.2</f>
        <v>38.63552</v>
      </c>
      <c r="W28" s="1">
        <f>V28*1.1</f>
        <v>42.499072000000005</v>
      </c>
      <c r="X28" s="1">
        <f>W28</f>
        <v>42.499072000000005</v>
      </c>
      <c r="Y28" s="2">
        <v>0.4</v>
      </c>
      <c r="Z28" s="1">
        <f>X28*(1+Y28)</f>
        <v>59.4987008</v>
      </c>
      <c r="AA28">
        <v>27</v>
      </c>
      <c r="AB28">
        <v>30</v>
      </c>
      <c r="AC28">
        <v>0.75</v>
      </c>
      <c r="AD28" t="str">
        <v>N/A</v>
      </c>
      <c r="AE28" t="str">
        <v>N/A</v>
      </c>
      <c r="AF28" t="str">
        <v>Dummy door for base kitchen cabinet (27" x 30")</v>
      </c>
      <c r="AG28" t="str">
        <v>Dummy door - Base (27" x 30")</v>
      </c>
    </row>
    <row r="29" hidden="1">
      <c r="A29" t="str">
        <v>S8-BDD2730-muf</v>
      </c>
      <c r="E29" t="b">
        <f>IF(OR(B29=TRUE,C29=TRUE,D29=TRUE),FALSE,TRUE)</f>
        <v>1</v>
      </c>
      <c r="G29" t="str">
        <v>DDBC27-30</v>
      </c>
      <c r="H29" t="str">
        <f>IF(ISNUMBER(SEARCH("muf",A29)),"Chêne blanc","Blanc")</f>
        <v>Chêne blanc</v>
      </c>
      <c r="I29" t="str">
        <f>CONCAT(G29,IF(H29="","",IF(H29="Blanc","-CW","-WWO")))</f>
        <v>DDBC27-30-WWO</v>
      </c>
      <c r="J29" t="str">
        <v>fillers-panels-moldings</v>
      </c>
      <c r="K29" t="str">
        <v>dummy-door</v>
      </c>
      <c r="L29" t="str">
        <f>IFERROR(VLOOKUP(J29,Categories!$A$2:$C$41,3,FALSE()),"⚠ slug introuvable")</f>
        <v>Fillers, panneaux &amp; moulures</v>
      </c>
      <c r="M29" t="str">
        <f>IFERROR(VLOOKUP(K29,Categories!$A$2:$C$41,3,FALSE()),"⚠ slug introuvable")</f>
        <v>Fausse porte</v>
      </c>
      <c r="N29" t="str">
        <v>Fausse porte pour armoire de cuisine du bas</v>
      </c>
      <c r="O29" t="str">
        <f>CONCAT(N29," (",AA29,""" x ",AB29,""")")</f>
        <v>Fausse porte pour armoire de cuisine du bas (27" x 30")</v>
      </c>
      <c r="P29" t="str">
        <f>CONCAT("Fausse porte - Bas"," (",AA29,""" x ",AB29,""")")</f>
        <v>Fausse porte - Bas (27" x 30")</v>
      </c>
      <c r="Q29" s="1">
        <v>288</v>
      </c>
      <c r="R29" s="1">
        <f>Q29/11.25</f>
        <v>25.6</v>
      </c>
      <c r="S29" s="1">
        <f>R29*1.4</f>
        <v>35.839999999999996</v>
      </c>
      <c r="T29" s="1">
        <f>S29*1.1</f>
        <v>39.424</v>
      </c>
      <c r="U29" s="1">
        <f>T29*1.2</f>
        <v>47.3088</v>
      </c>
      <c r="V29" s="1">
        <f>U29*1.2</f>
        <v>56.770559999999996</v>
      </c>
      <c r="W29" s="1">
        <f>V29*1.1</f>
        <v>62.447616000000004</v>
      </c>
      <c r="X29" s="1">
        <f>W29</f>
        <v>62.447616000000004</v>
      </c>
      <c r="Y29" s="2">
        <v>0.4</v>
      </c>
      <c r="Z29" s="1">
        <f>X29*(1+Y29)</f>
        <v>87.4266624</v>
      </c>
      <c r="AA29">
        <v>27</v>
      </c>
      <c r="AB29">
        <v>30</v>
      </c>
      <c r="AC29">
        <v>0.75</v>
      </c>
      <c r="AD29" t="str">
        <v>N/A</v>
      </c>
      <c r="AE29" t="str">
        <v>N/A</v>
      </c>
      <c r="AF29" t="str">
        <v>Dummy door for base kitchen cabinet (27" x 30")</v>
      </c>
      <c r="AG29" t="str">
        <v>Dummy door - Base (27" x 30")</v>
      </c>
    </row>
    <row r="30" hidden="1">
      <c r="A30" t="str">
        <v>S8-BDD3030</v>
      </c>
      <c r="E30" t="b">
        <f>IF(OR(B30=TRUE,C30=TRUE,D30=TRUE),FALSE,TRUE)</f>
        <v>1</v>
      </c>
      <c r="G30" t="str">
        <v>DDBC30-30</v>
      </c>
      <c r="H30" t="str">
        <f>IF(ISNUMBER(SEARCH("muf",A30)),"Chêne blanc","Blanc")</f>
        <v>Blanc</v>
      </c>
      <c r="I30" t="str">
        <f>CONCAT(G30,IF(H30="","",IF(H30="Blanc","-CW","-WWO")))</f>
        <v>DDBC30-30-CW</v>
      </c>
      <c r="J30" t="str">
        <v>fillers-panels-moldings</v>
      </c>
      <c r="K30" t="str">
        <v>dummy-door</v>
      </c>
      <c r="L30" t="str">
        <f>IFERROR(VLOOKUP(J30,Categories!$A$2:$C$41,3,FALSE()),"⚠ slug introuvable")</f>
        <v>Fillers, panneaux &amp; moulures</v>
      </c>
      <c r="M30" t="str">
        <f>IFERROR(VLOOKUP(K30,Categories!$A$2:$C$41,3,FALSE()),"⚠ slug introuvable")</f>
        <v>Fausse porte</v>
      </c>
      <c r="N30" t="str">
        <v>Fausse porte pour armoire de cuisine du bas</v>
      </c>
      <c r="O30" t="str">
        <f>CONCAT(N30," (",AA30,""" x ",AB30,""")")</f>
        <v>Fausse porte pour armoire de cuisine du bas (30" x 30")</v>
      </c>
      <c r="P30" t="str">
        <f>CONCAT("Fausse porte - Bas"," (",AA30,""" x ",AB30,""")")</f>
        <v>Fausse porte - Bas (30" x 30")</v>
      </c>
      <c r="Q30" s="1">
        <v>226</v>
      </c>
      <c r="R30" s="1">
        <f>Q30/11.25</f>
        <v>20.08888888888889</v>
      </c>
      <c r="S30" s="1">
        <f>R30*1.4</f>
        <v>28.124444444444443</v>
      </c>
      <c r="T30" s="1">
        <f>S30*1.1</f>
        <v>30.93688888888889</v>
      </c>
      <c r="U30" s="1">
        <f>T30*1.2</f>
        <v>37.12426666666667</v>
      </c>
      <c r="V30" s="1">
        <f>U30*1.2</f>
        <v>44.54912</v>
      </c>
      <c r="W30" s="1">
        <f>V30*1.1</f>
        <v>49.00403200000001</v>
      </c>
      <c r="X30" s="1">
        <f>W30</f>
        <v>49.00403200000001</v>
      </c>
      <c r="Y30" s="2">
        <v>0.4</v>
      </c>
      <c r="Z30" s="1">
        <f>X30*(1+Y30)</f>
        <v>68.60564480000001</v>
      </c>
      <c r="AA30">
        <v>30</v>
      </c>
      <c r="AB30">
        <v>30</v>
      </c>
      <c r="AC30">
        <v>0.75</v>
      </c>
      <c r="AD30" t="str">
        <v>N/A</v>
      </c>
      <c r="AE30" t="str">
        <v>N/A</v>
      </c>
      <c r="AF30" t="str">
        <v>Dummy door for base kitchen cabinet (30" x 30")</v>
      </c>
      <c r="AG30" t="str">
        <v>Dummy door - Base (30" x 30")</v>
      </c>
    </row>
    <row r="31" hidden="1">
      <c r="A31" t="str">
        <v>S8-BDD3030-muf</v>
      </c>
      <c r="E31" t="b">
        <f>IF(OR(B31=TRUE,C31=TRUE,D31=TRUE),FALSE,TRUE)</f>
        <v>1</v>
      </c>
      <c r="G31" t="str">
        <v>DDBC30-30</v>
      </c>
      <c r="H31" t="str">
        <f>IF(ISNUMBER(SEARCH("muf",A31)),"Chêne blanc","Blanc")</f>
        <v>Chêne blanc</v>
      </c>
      <c r="I31" t="str">
        <f>CONCAT(G31,IF(H31="","",IF(H31="Blanc","-CW","-WWO")))</f>
        <v>DDBC30-30-WWO</v>
      </c>
      <c r="J31" t="str">
        <v>fillers-panels-moldings</v>
      </c>
      <c r="K31" t="str">
        <v>dummy-door</v>
      </c>
      <c r="L31" t="str">
        <f>IFERROR(VLOOKUP(J31,Categories!$A$2:$C$41,3,FALSE()),"⚠ slug introuvable")</f>
        <v>Fillers, panneaux &amp; moulures</v>
      </c>
      <c r="M31" t="str">
        <f>IFERROR(VLOOKUP(K31,Categories!$A$2:$C$41,3,FALSE()),"⚠ slug introuvable")</f>
        <v>Fausse porte</v>
      </c>
      <c r="N31" t="str">
        <v>Fausse porte pour armoire de cuisine du bas</v>
      </c>
      <c r="O31" t="str">
        <f>CONCAT(N31," (",AA31,""" x ",AB31,""")")</f>
        <v>Fausse porte pour armoire de cuisine du bas (30" x 30")</v>
      </c>
      <c r="P31" t="str">
        <f>CONCAT("Fausse porte - Bas"," (",AA31,""" x ",AB31,""")")</f>
        <v>Fausse porte - Bas (30" x 30")</v>
      </c>
      <c r="Q31" s="1">
        <v>335</v>
      </c>
      <c r="R31" s="1">
        <f>Q31/11.25</f>
        <v>29.77777777777778</v>
      </c>
      <c r="S31" s="1">
        <f>R31*1.4</f>
        <v>41.68888888888889</v>
      </c>
      <c r="T31" s="1">
        <f>S31*1.1</f>
        <v>45.857777777777784</v>
      </c>
      <c r="U31" s="1">
        <f>T31*1.2</f>
        <v>55.02933333333334</v>
      </c>
      <c r="V31" s="1">
        <f>U31*1.2</f>
        <v>66.0352</v>
      </c>
      <c r="W31" s="1">
        <f>V31*1.1</f>
        <v>72.63872</v>
      </c>
      <c r="X31" s="1">
        <f>W31</f>
        <v>72.63872</v>
      </c>
      <c r="Y31" s="2">
        <v>0.4</v>
      </c>
      <c r="Z31" s="1">
        <f>X31*(1+Y31)</f>
        <v>101.694208</v>
      </c>
      <c r="AA31">
        <v>30</v>
      </c>
      <c r="AB31">
        <v>30</v>
      </c>
      <c r="AC31">
        <v>0.75</v>
      </c>
      <c r="AD31" t="str">
        <v>N/A</v>
      </c>
      <c r="AE31" t="str">
        <v>N/A</v>
      </c>
      <c r="AF31" t="str">
        <v>Dummy door for base kitchen cabinet (30" x 30")</v>
      </c>
      <c r="AG31" t="str">
        <v>Dummy door - Base (30" x 30")</v>
      </c>
    </row>
    <row r="32" hidden="1">
      <c r="A32" t="str">
        <v>S8-BDD3330</v>
      </c>
      <c r="E32" t="b">
        <f>IF(OR(B32=TRUE,C32=TRUE,D32=TRUE),FALSE,TRUE)</f>
        <v>1</v>
      </c>
      <c r="G32" t="str">
        <v>DDBC33-30</v>
      </c>
      <c r="H32" t="str">
        <f>IF(ISNUMBER(SEARCH("muf",A32)),"Chêne blanc","Blanc")</f>
        <v>Blanc</v>
      </c>
      <c r="I32" t="str">
        <f>CONCAT(G32,IF(H32="","",IF(H32="Blanc","-CW","-WWO")))</f>
        <v>DDBC33-30-CW</v>
      </c>
      <c r="J32" t="str">
        <v>fillers-panels-moldings</v>
      </c>
      <c r="K32" t="str">
        <v>dummy-door</v>
      </c>
      <c r="L32" t="str">
        <f>IFERROR(VLOOKUP(J32,Categories!$A$2:$C$41,3,FALSE()),"⚠ slug introuvable")</f>
        <v>Fillers, panneaux &amp; moulures</v>
      </c>
      <c r="M32" t="str">
        <f>IFERROR(VLOOKUP(K32,Categories!$A$2:$C$41,3,FALSE()),"⚠ slug introuvable")</f>
        <v>Fausse porte</v>
      </c>
      <c r="N32" t="str">
        <v>Fausse porte pour armoire de cuisine du bas</v>
      </c>
      <c r="O32" t="str">
        <f>CONCAT(N32," (",AA32,""" x ",AB32,""")")</f>
        <v>Fausse porte pour armoire de cuisine du bas (33" x 30")</v>
      </c>
      <c r="P32" t="str">
        <f>CONCAT("Fausse porte - Bas"," (",AA32,""" x ",AB32,""")")</f>
        <v>Fausse porte - Bas (33" x 30")</v>
      </c>
      <c r="Q32" s="1">
        <v>255</v>
      </c>
      <c r="R32" s="1">
        <f>Q32/11.25</f>
        <v>22.666666666666668</v>
      </c>
      <c r="S32" s="1">
        <f>R32*1.4</f>
        <v>31.733333333333334</v>
      </c>
      <c r="T32" s="1">
        <f>S32*1.1</f>
        <v>34.90666666666667</v>
      </c>
      <c r="U32" s="1">
        <f>T32*1.2</f>
        <v>41.888000000000005</v>
      </c>
      <c r="V32" s="1">
        <f>U32*1.2</f>
        <v>50.265600000000006</v>
      </c>
      <c r="W32" s="1">
        <f>V32*1.1</f>
        <v>55.29216000000001</v>
      </c>
      <c r="X32" s="1">
        <f>W32</f>
        <v>55.29216000000001</v>
      </c>
      <c r="Y32" s="2">
        <v>0.4</v>
      </c>
      <c r="Z32" s="1">
        <f>X32*(1+Y32)</f>
        <v>77.409024</v>
      </c>
      <c r="AA32">
        <v>33</v>
      </c>
      <c r="AB32">
        <v>30</v>
      </c>
      <c r="AC32">
        <v>0.75</v>
      </c>
      <c r="AD32" t="str">
        <v>N/A</v>
      </c>
      <c r="AE32" t="str">
        <v>N/A</v>
      </c>
      <c r="AF32" t="str">
        <v>Dummy door for base kitchen cabinet (33" x 30")</v>
      </c>
      <c r="AG32" t="str">
        <v>Dummy door - Base (33" x 30")</v>
      </c>
    </row>
    <row r="33" hidden="1">
      <c r="A33" t="str">
        <v>S8-BDD3330-muf</v>
      </c>
      <c r="E33" t="b">
        <f>IF(OR(B33=TRUE,C33=TRUE,D33=TRUE),FALSE,TRUE)</f>
        <v>1</v>
      </c>
      <c r="G33" t="str">
        <v>DDBC33-30</v>
      </c>
      <c r="H33" t="str">
        <f>IF(ISNUMBER(SEARCH("muf",A33)),"Chêne blanc","Blanc")</f>
        <v>Chêne blanc</v>
      </c>
      <c r="I33" t="str">
        <f>CONCAT(G33,IF(H33="","",IF(H33="Blanc","-CW","-WWO")))</f>
        <v>DDBC33-30-WWO</v>
      </c>
      <c r="J33" t="str">
        <v>fillers-panels-moldings</v>
      </c>
      <c r="K33" t="str">
        <v>dummy-door</v>
      </c>
      <c r="L33" t="str">
        <f>IFERROR(VLOOKUP(J33,Categories!$A$2:$C$41,3,FALSE()),"⚠ slug introuvable")</f>
        <v>Fillers, panneaux &amp; moulures</v>
      </c>
      <c r="M33" t="str">
        <f>IFERROR(VLOOKUP(K33,Categories!$A$2:$C$41,3,FALSE()),"⚠ slug introuvable")</f>
        <v>Fausse porte</v>
      </c>
      <c r="N33" t="str">
        <v>Fausse porte pour armoire de cuisine du bas</v>
      </c>
      <c r="O33" t="str">
        <f>CONCAT(N33," (",AA33,""" x ",AB33,""")")</f>
        <v>Fausse porte pour armoire de cuisine du bas (33" x 30")</v>
      </c>
      <c r="P33" t="str">
        <f>CONCAT("Fausse porte - Bas"," (",AA33,""" x ",AB33,""")")</f>
        <v>Fausse porte - Bas (33" x 30")</v>
      </c>
      <c r="Q33" s="1">
        <v>386</v>
      </c>
      <c r="R33" s="1">
        <f>Q33/11.25</f>
        <v>34.31111111111111</v>
      </c>
      <c r="S33" s="1">
        <f>R33*1.4</f>
        <v>48.035555555555554</v>
      </c>
      <c r="T33" s="1">
        <f>S33*1.1</f>
        <v>52.839111111111116</v>
      </c>
      <c r="U33" s="1">
        <f>T33*1.2</f>
        <v>63.406933333333335</v>
      </c>
      <c r="V33" s="1">
        <f>U33*1.2</f>
        <v>76.08832</v>
      </c>
      <c r="W33" s="1">
        <f>V33*1.1</f>
        <v>83.697152</v>
      </c>
      <c r="X33" s="1">
        <f>W33</f>
        <v>83.697152</v>
      </c>
      <c r="Y33" s="2">
        <v>0.4</v>
      </c>
      <c r="Z33" s="1">
        <f>X33*(1+Y33)</f>
        <v>117.1760128</v>
      </c>
      <c r="AA33">
        <v>33</v>
      </c>
      <c r="AB33">
        <v>30</v>
      </c>
      <c r="AC33">
        <v>0.75</v>
      </c>
      <c r="AD33" t="str">
        <v>N/A</v>
      </c>
      <c r="AE33" t="str">
        <v>N/A</v>
      </c>
      <c r="AF33" t="str">
        <v>Dummy door for base kitchen cabinet (33" x 30")</v>
      </c>
      <c r="AG33" t="str">
        <v>Dummy door - Base (33" x 30")</v>
      </c>
    </row>
    <row r="34" hidden="1">
      <c r="A34" t="str">
        <v>S8-BDD37.5x36</v>
      </c>
      <c r="E34" t="b">
        <f>IF(OR(B34=TRUE,C34=TRUE,D34=TRUE),FALSE,TRUE)</f>
        <v>1</v>
      </c>
      <c r="G34" t="str">
        <v>DDBC37.5-36</v>
      </c>
      <c r="H34" t="str">
        <f>IF(ISNUMBER(SEARCH("muf",A34)),"Chêne blanc","Blanc")</f>
        <v>Blanc</v>
      </c>
      <c r="I34" t="str">
        <f>CONCAT(G34,IF(H34="","",IF(H34="Blanc","-CW","-WWO")))</f>
        <v>DDBC37.5-36-CW</v>
      </c>
      <c r="J34" t="str">
        <v>fillers-panels-moldings</v>
      </c>
      <c r="K34" t="str">
        <v>dummy-door</v>
      </c>
      <c r="L34" t="str">
        <f>IFERROR(VLOOKUP(J34,Categories!$A$2:$C$41,3,FALSE()),"⚠ slug introuvable")</f>
        <v>Fillers, panneaux &amp; moulures</v>
      </c>
      <c r="M34" t="str">
        <f>IFERROR(VLOOKUP(K34,Categories!$A$2:$C$41,3,FALSE()),"⚠ slug introuvable")</f>
        <v>Fausse porte</v>
      </c>
      <c r="N34" t="str">
        <v>Fausse porte pour armoire de cuisine du bas</v>
      </c>
      <c r="O34" t="str">
        <f>CONCAT(N34," (",AA34,""" x ",AB34,""")")</f>
        <v>Fausse porte pour armoire de cuisine du bas (37.5" x 36")</v>
      </c>
      <c r="P34" t="str">
        <f>CONCAT("Fausse porte - Bas"," (",AA34,""" x ",AB34,""")")</f>
        <v>Fausse porte - Bas (37.5" x 36")</v>
      </c>
      <c r="Q34" s="1">
        <v>511</v>
      </c>
      <c r="R34" s="1">
        <f>Q34/11.25</f>
        <v>45.422222222222224</v>
      </c>
      <c r="S34" s="1">
        <f>R34*1.4</f>
        <v>63.59111111111111</v>
      </c>
      <c r="T34" s="1">
        <f>S34*1.1</f>
        <v>69.95022222222222</v>
      </c>
      <c r="U34" s="1">
        <f>T34*1.2</f>
        <v>83.94026666666666</v>
      </c>
      <c r="V34" s="1">
        <f>U34*1.2</f>
        <v>100.72831999999998</v>
      </c>
      <c r="W34" s="1">
        <f>V34*1.1</f>
        <v>110.80115199999999</v>
      </c>
      <c r="X34" s="1">
        <f>W34</f>
        <v>110.80115199999999</v>
      </c>
      <c r="Y34" s="2">
        <v>0.4</v>
      </c>
      <c r="Z34" s="1">
        <f>X34*(1+Y34)</f>
        <v>155.12161279999998</v>
      </c>
      <c r="AA34">
        <v>37.5</v>
      </c>
      <c r="AB34">
        <v>36</v>
      </c>
      <c r="AC34">
        <v>0.75</v>
      </c>
      <c r="AD34" t="str">
        <v>N/A</v>
      </c>
      <c r="AE34" t="str">
        <v>N/A</v>
      </c>
      <c r="AF34" t="str">
        <v>Dummy door for base kitchen cabinet (37.5" x 36")</v>
      </c>
      <c r="AG34" t="str">
        <v>Dummy door - Base (37.5" x 36")</v>
      </c>
    </row>
    <row r="35" hidden="1">
      <c r="A35" t="str">
        <v>S8-BDD37.5x36-muf</v>
      </c>
      <c r="E35" t="b">
        <f>IF(OR(B35=TRUE,C35=TRUE,D35=TRUE),FALSE,TRUE)</f>
        <v>1</v>
      </c>
      <c r="G35" t="str">
        <v>DDBC37.5-36</v>
      </c>
      <c r="H35" t="str">
        <f>IF(ISNUMBER(SEARCH("muf",A35)),"Chêne blanc","Blanc")</f>
        <v>Chêne blanc</v>
      </c>
      <c r="I35" t="str">
        <f>CONCAT(G35,IF(H35="","",IF(H35="Blanc","-CW","-WWO")))</f>
        <v>DDBC37.5-36-WWO</v>
      </c>
      <c r="J35" t="str">
        <v>fillers-panels-moldings</v>
      </c>
      <c r="K35" t="str">
        <v>dummy-door</v>
      </c>
      <c r="L35" t="str">
        <f>IFERROR(VLOOKUP(J35,Categories!$A$2:$C$41,3,FALSE()),"⚠ slug introuvable")</f>
        <v>Fillers, panneaux &amp; moulures</v>
      </c>
      <c r="M35" t="str">
        <f>IFERROR(VLOOKUP(K35,Categories!$A$2:$C$41,3,FALSE()),"⚠ slug introuvable")</f>
        <v>Fausse porte</v>
      </c>
      <c r="N35" t="str">
        <v>Fausse porte pour armoire de cuisine du bas</v>
      </c>
      <c r="O35" t="str">
        <f>CONCAT(N35," (",AA35,""" x ",AB35,""")")</f>
        <v>Fausse porte pour armoire de cuisine du bas (37.5" x 36")</v>
      </c>
      <c r="P35" t="str">
        <f>CONCAT("Fausse porte - Bas"," (",AA35,""" x ",AB35,""")")</f>
        <v>Fausse porte - Bas (37.5" x 36")</v>
      </c>
      <c r="Q35" s="1">
        <v>920.48</v>
      </c>
      <c r="R35" s="1">
        <f>Q35/11.25</f>
        <v>81.82044444444445</v>
      </c>
      <c r="S35" s="1">
        <f>R35*1.4</f>
        <v>114.54862222222222</v>
      </c>
      <c r="T35" s="1">
        <f>S35*1.1</f>
        <v>126.00348444444445</v>
      </c>
      <c r="U35" s="1">
        <f>T35*1.2</f>
        <v>151.20418133333334</v>
      </c>
      <c r="V35" s="1">
        <f>U35*1.2</f>
        <v>181.4450176</v>
      </c>
      <c r="W35" s="1">
        <f>V35*1.1</f>
        <v>199.58951936000003</v>
      </c>
      <c r="X35" s="1">
        <f>W35</f>
        <v>199.58951936000003</v>
      </c>
      <c r="Y35" s="2">
        <v>0.4</v>
      </c>
      <c r="Z35" s="1">
        <f>X35*(1+Y35)</f>
        <v>279.425327104</v>
      </c>
      <c r="AA35">
        <v>37.5</v>
      </c>
      <c r="AB35">
        <v>36</v>
      </c>
      <c r="AC35">
        <v>0.75</v>
      </c>
      <c r="AD35" t="str">
        <v>N/A</v>
      </c>
      <c r="AE35" t="str">
        <v>N/A</v>
      </c>
      <c r="AF35" t="str">
        <v>Dummy door for base kitchen cabinet (37.5" x 36")</v>
      </c>
      <c r="AG35" t="str">
        <v>Dummy door - Base (37.5" x 36")</v>
      </c>
    </row>
    <row r="36" hidden="1">
      <c r="A36" t="str">
        <v>S8-BDD49.75*36</v>
      </c>
      <c r="E36" t="b">
        <f>IF(OR(B36=TRUE,C36=TRUE,D36=TRUE),FALSE,TRUE)</f>
        <v>1</v>
      </c>
      <c r="G36" t="str">
        <v>DDBC49.75-36</v>
      </c>
      <c r="H36" t="str">
        <f>IF(ISNUMBER(SEARCH("muf",A36)),"Chêne blanc","Blanc")</f>
        <v>Blanc</v>
      </c>
      <c r="I36" t="str">
        <f>CONCAT(G36,IF(H36="","",IF(H36="Blanc","-CW","-WWO")))</f>
        <v>DDBC49.75-36-CW</v>
      </c>
      <c r="J36" t="str">
        <v>fillers-panels-moldings</v>
      </c>
      <c r="K36" t="str">
        <v>dummy-door</v>
      </c>
      <c r="L36" t="str">
        <f>IFERROR(VLOOKUP(J36,Categories!$A$2:$C$41,3,FALSE()),"⚠ slug introuvable")</f>
        <v>Fillers, panneaux &amp; moulures</v>
      </c>
      <c r="M36" t="str">
        <f>IFERROR(VLOOKUP(K36,Categories!$A$2:$C$41,3,FALSE()),"⚠ slug introuvable")</f>
        <v>Fausse porte</v>
      </c>
      <c r="N36" t="str">
        <v>Fausse porte pour armoire de cuisine du bas</v>
      </c>
      <c r="O36" t="str">
        <f>CONCAT(N36," (",AA36,""" x ",AB36,""")")</f>
        <v>Fausse porte pour armoire de cuisine du bas (49.75" x 36")</v>
      </c>
      <c r="P36" t="str">
        <f>CONCAT("Fausse porte - Bas"," (",AA36,""" x ",AB36,""")")</f>
        <v>Fausse porte - Bas (49.75" x 36")</v>
      </c>
      <c r="Q36" s="1">
        <v>474</v>
      </c>
      <c r="R36" s="1">
        <f>Q36/11.25</f>
        <v>42.13333333333333</v>
      </c>
      <c r="S36" s="1">
        <f>R36*1.4</f>
        <v>58.986666666666665</v>
      </c>
      <c r="T36" s="1">
        <f>S36*1.1</f>
        <v>64.88533333333334</v>
      </c>
      <c r="U36" s="1">
        <f>T36*1.2</f>
        <v>77.8624</v>
      </c>
      <c r="V36" s="1">
        <f>U36*1.2</f>
        <v>93.43487999999999</v>
      </c>
      <c r="W36" s="1">
        <f>V36*1.1</f>
        <v>102.778368</v>
      </c>
      <c r="X36" s="1">
        <f>W36</f>
        <v>102.778368</v>
      </c>
      <c r="Y36" s="2">
        <v>0.4</v>
      </c>
      <c r="Z36" s="1">
        <f>X36*(1+Y36)</f>
        <v>143.88971519999998</v>
      </c>
      <c r="AA36">
        <v>49.75</v>
      </c>
      <c r="AB36">
        <v>36</v>
      </c>
      <c r="AC36">
        <v>0.75</v>
      </c>
      <c r="AD36" t="str">
        <v>N/A</v>
      </c>
      <c r="AE36" t="str">
        <v>N/A</v>
      </c>
      <c r="AF36" t="str">
        <v>Dummy door for base kitchen cabinet (49.75" x 36")</v>
      </c>
      <c r="AG36" t="str">
        <v>Dummy door - Base (49.75" x 36")</v>
      </c>
    </row>
    <row r="37" hidden="1">
      <c r="A37" t="str">
        <v>S8-BDD49.75*36-muf</v>
      </c>
      <c r="E37" t="b">
        <f>IF(OR(B37=TRUE,C37=TRUE,D37=TRUE),FALSE,TRUE)</f>
        <v>1</v>
      </c>
      <c r="G37" t="str">
        <v>DDBC49.75-36</v>
      </c>
      <c r="H37" t="str">
        <f>IF(ISNUMBER(SEARCH("muf",A37)),"Chêne blanc","Blanc")</f>
        <v>Chêne blanc</v>
      </c>
      <c r="I37" t="str">
        <f>CONCAT(G37,IF(H37="","",IF(H37="Blanc","-CW","-WWO")))</f>
        <v>DDBC49.75-36-WWO</v>
      </c>
      <c r="J37" t="str">
        <v>fillers-panels-moldings</v>
      </c>
      <c r="K37" t="str">
        <v>dummy-door</v>
      </c>
      <c r="L37" t="str">
        <f>IFERROR(VLOOKUP(J37,Categories!$A$2:$C$41,3,FALSE()),"⚠ slug introuvable")</f>
        <v>Fillers, panneaux &amp; moulures</v>
      </c>
      <c r="M37" t="str">
        <f>IFERROR(VLOOKUP(K37,Categories!$A$2:$C$41,3,FALSE()),"⚠ slug introuvable")</f>
        <v>Fausse porte</v>
      </c>
      <c r="N37" t="str">
        <v>Fausse porte pour armoire de cuisine du bas</v>
      </c>
      <c r="O37" t="str">
        <f>CONCAT(N37," (",AA37,""" x ",AB37,""")")</f>
        <v>Fausse porte pour armoire de cuisine du bas (49.75" x 36")</v>
      </c>
      <c r="P37" t="str">
        <f>CONCAT("Fausse porte - Bas"," (",AA37,""" x ",AB37,""")")</f>
        <v>Fausse porte - Bas (49.75" x 36")</v>
      </c>
      <c r="Q37" s="1">
        <v>1153.69</v>
      </c>
      <c r="R37" s="1">
        <f>Q37/11.25</f>
        <v>102.55022222222223</v>
      </c>
      <c r="S37" s="1">
        <f>R37*1.4</f>
        <v>143.57031111111112</v>
      </c>
      <c r="T37" s="1">
        <f>S37*1.1</f>
        <v>157.92734222222225</v>
      </c>
      <c r="U37" s="1">
        <f>T37*1.2</f>
        <v>189.5128106666667</v>
      </c>
      <c r="V37" s="1">
        <f>U37*1.2</f>
        <v>227.41537280000003</v>
      </c>
      <c r="W37" s="1">
        <f>V37*1.1</f>
        <v>250.15691008000005</v>
      </c>
      <c r="X37" s="1">
        <f>W37</f>
        <v>250.15691008000005</v>
      </c>
      <c r="Y37" s="2">
        <v>0.4</v>
      </c>
      <c r="Z37" s="1">
        <f>X37*(1+Y37)</f>
        <v>350.21967411200006</v>
      </c>
      <c r="AA37">
        <v>49.75</v>
      </c>
      <c r="AB37">
        <v>36</v>
      </c>
      <c r="AC37">
        <v>0.75</v>
      </c>
      <c r="AD37" t="str">
        <v>N/A</v>
      </c>
      <c r="AE37" t="str">
        <v>N/A</v>
      </c>
      <c r="AF37" t="str">
        <v>Dummy door for base kitchen cabinet (49.75" x 36")</v>
      </c>
      <c r="AG37" t="str">
        <v>Dummy door - Base (49.75" x 36")</v>
      </c>
    </row>
    <row r="38" hidden="1">
      <c r="A38" t="str">
        <v>S8-BM33*6</v>
      </c>
      <c r="B38" t="b">
        <v>1</v>
      </c>
      <c r="E38" t="b">
        <f>IF(OR(B38=TRUE,C38=TRUE,D38=TRUE),FALSE,TRUE)</f>
        <v>0</v>
      </c>
      <c r="H38" t="str">
        <f>IF(ISNUMBER(SEARCH("muf",A38)),"Chêne blanc","Blanc")</f>
        <v>Blanc</v>
      </c>
      <c r="I38" t="str">
        <f>CONCAT(G38,IF(H38="","",IF(H38="Blanc","-CW","-WWO")))</f>
        <v>-CW</v>
      </c>
      <c r="J38" t="str">
        <f>IFERROR(VLOOKUP(K38,Categories!$A$2:$C$41,2,FALSE()),"⚠ slug introuvable")</f>
        <v>fillers-panels-moldings</v>
      </c>
      <c r="K38" t="str">
        <v>moldings</v>
      </c>
      <c r="L38" t="str">
        <f>IFERROR(VLOOKUP(J38,Categories!$A$2:$C$41,3,FALSE()),"⚠ slug introuvable")</f>
        <v>Fillers, panneaux &amp; moulures</v>
      </c>
      <c r="M38" t="str">
        <f>IFERROR(VLOOKUP(K38,Categories!$A$2:$C$41,3,FALSE()),"⚠ slug introuvable")</f>
        <v>Moulures</v>
      </c>
      <c r="O38">
        <f>N38</f>
        <v>0</v>
      </c>
      <c r="P38">
        <f>O38</f>
        <v>0</v>
      </c>
      <c r="Q38" s="1">
        <v>0</v>
      </c>
      <c r="R38" s="1">
        <f>Q38/11.25</f>
        <v>0</v>
      </c>
      <c r="S38" s="1">
        <f>R38*1.4</f>
        <v>0</v>
      </c>
      <c r="T38" s="1">
        <f>S38*1.1</f>
        <v>0</v>
      </c>
      <c r="U38" s="1">
        <f>T38*1.2</f>
        <v>0</v>
      </c>
      <c r="V38" s="1">
        <f>U38*1.2</f>
        <v>0</v>
      </c>
      <c r="W38" s="1">
        <f>V38*1.1</f>
        <v>0</v>
      </c>
      <c r="X38" s="1">
        <f>W38</f>
        <v>0</v>
      </c>
      <c r="Y38" s="2">
        <v>0.4</v>
      </c>
      <c r="Z38" s="1">
        <f>X38*(1+Y38)</f>
        <v>0</v>
      </c>
      <c r="AA38">
        <v>33</v>
      </c>
      <c r="AB38">
        <v>6</v>
      </c>
      <c r="AD38" t="str">
        <v>N/A</v>
      </c>
      <c r="AE38" t="str">
        <v>N/A</v>
      </c>
    </row>
    <row r="39" hidden="1">
      <c r="A39" t="str">
        <v>S8-BM96</v>
      </c>
      <c r="B39" t="b">
        <v>1</v>
      </c>
      <c r="E39" t="b">
        <f>IF(OR(B39=TRUE,C39=TRUE,D39=TRUE),FALSE,TRUE)</f>
        <v>0</v>
      </c>
      <c r="H39" t="str">
        <f>IF(ISNUMBER(SEARCH("muf",A39)),"Chêne blanc","Blanc")</f>
        <v>Blanc</v>
      </c>
      <c r="I39" t="str">
        <f>CONCAT(G39,IF(H39="","",IF(H39="Blanc","-CW","-WWO")))</f>
        <v>-CW</v>
      </c>
      <c r="J39" t="str">
        <f>IFERROR(VLOOKUP(K39,Categories!$A$2:$C$41,2,FALSE()),"⚠ slug introuvable")</f>
        <v>fillers-panels-moldings</v>
      </c>
      <c r="K39" t="str">
        <v>moldings</v>
      </c>
      <c r="L39" t="str">
        <f>IFERROR(VLOOKUP(J39,Categories!$A$2:$C$41,3,FALSE()),"⚠ slug introuvable")</f>
        <v>Fillers, panneaux &amp; moulures</v>
      </c>
      <c r="M39" t="str">
        <f>IFERROR(VLOOKUP(K39,Categories!$A$2:$C$41,3,FALSE()),"⚠ slug introuvable")</f>
        <v>Moulures</v>
      </c>
      <c r="O39">
        <f>N39</f>
        <v>0</v>
      </c>
      <c r="P39">
        <f>O39</f>
        <v>0</v>
      </c>
      <c r="Q39" s="1">
        <v>0</v>
      </c>
      <c r="R39" s="1">
        <f>Q39/11.25</f>
        <v>0</v>
      </c>
      <c r="S39" s="1">
        <f>R39*1.4</f>
        <v>0</v>
      </c>
      <c r="T39" s="1">
        <f>S39*1.1</f>
        <v>0</v>
      </c>
      <c r="U39" s="1">
        <f>T39*1.2</f>
        <v>0</v>
      </c>
      <c r="V39" s="1">
        <f>U39*1.2</f>
        <v>0</v>
      </c>
      <c r="W39" s="1">
        <f>V39*1.1</f>
        <v>0</v>
      </c>
      <c r="X39" s="1">
        <f>W39</f>
        <v>0</v>
      </c>
      <c r="Y39" s="2">
        <v>0.4</v>
      </c>
      <c r="Z39" s="1">
        <f>X39*(1+Y39)</f>
        <v>0</v>
      </c>
      <c r="AA39">
        <v>96</v>
      </c>
      <c r="AD39" t="str">
        <v>N/A</v>
      </c>
      <c r="AE39" t="str">
        <v>N/A</v>
      </c>
    </row>
    <row r="40">
      <c r="A40" t="str">
        <v>S8-BMC27</v>
      </c>
      <c r="E40" t="b">
        <f>IF(OR(B40=TRUE,C40=TRUE,D40=TRUE),FALSE,TRUE)</f>
        <v>1</v>
      </c>
      <c r="G40" t="str">
        <v>MBC</v>
      </c>
      <c r="H40" t="str">
        <f>IF(ISNUMBER(SEARCH("muf",A40)),"Chêne blanc","Blanc")</f>
        <v>Blanc</v>
      </c>
      <c r="I40" t="str">
        <f>CONCAT(G40,IF(H40="","",IF(H40="Blanc","-CW","-WWO")))</f>
        <v>MBC-CW</v>
      </c>
      <c r="J40" t="str">
        <f>IFERROR(VLOOKUP(K40,Categories!$A$2:$C$41,2,FALSE()),"⚠ slug introuvable")</f>
        <v>base-cabinet</v>
      </c>
      <c r="K40" t="str">
        <v>base-microwave-cabinet</v>
      </c>
      <c r="L40" t="str">
        <f>IFERROR(VLOOKUP(J40,Categories!$A$2:$C$41,3,FALSE()),"⚠ slug introuvable")</f>
        <v>Armoire du bas</v>
      </c>
      <c r="M40" t="str">
        <f>IFERROR(VLOOKUP(K40,Categories!$A$2:$C$41,3,FALSE()),"⚠ slug introuvable")</f>
        <v>Micro-ondes</v>
      </c>
      <c r="N40" t="str">
        <v>Armoire de cuisine du bas avec espace micro-ondes et 1 tiroir</v>
      </c>
      <c r="O40" t="str">
        <f>CONCAT(N40," (",AA40,""")")</f>
        <v>Armoire de cuisine du bas avec espace micro-ondes et 1 tiroir (27")</v>
      </c>
      <c r="P40" t="str">
        <f>CONCAT("Micro-ondes"," (",AA40,""")")</f>
        <v>Micro-ondes (27")</v>
      </c>
      <c r="Q40" s="1">
        <v>1110</v>
      </c>
      <c r="R40" s="1">
        <f>Q40/11.25</f>
        <v>98.66666666666667</v>
      </c>
      <c r="S40" s="1">
        <f>R40*1.4</f>
        <v>138.13333333333333</v>
      </c>
      <c r="T40" s="1">
        <f>S40*1.1</f>
        <v>151.94666666666666</v>
      </c>
      <c r="U40" s="1">
        <f>T40*1.2</f>
        <v>182.33599999999998</v>
      </c>
      <c r="V40" s="1">
        <f>U40*1.2</f>
        <v>218.80319999999998</v>
      </c>
      <c r="W40" s="1">
        <f>V40*1.1</f>
        <v>240.68352</v>
      </c>
      <c r="X40" s="1">
        <f>W40</f>
        <v>240.68352</v>
      </c>
      <c r="Y40" s="2">
        <v>0.4</v>
      </c>
      <c r="Z40" s="1">
        <f>X40*(1+Y40)</f>
        <v>336.95692799999995</v>
      </c>
      <c r="AA40">
        <v>27</v>
      </c>
      <c r="AB40">
        <v>34.5</v>
      </c>
      <c r="AC40">
        <v>24</v>
      </c>
      <c r="AD40">
        <v>0</v>
      </c>
      <c r="AE40">
        <v>1</v>
      </c>
      <c r="AF40" t="str">
        <v>Base kitchen cabinet with microwave space and 1 drawer (27")</v>
      </c>
      <c r="AG40" t="str">
        <v>Microwave (27")</v>
      </c>
    </row>
    <row r="41" hidden="1">
      <c r="A41" t="str">
        <v>S8-BMC27-muf</v>
      </c>
      <c r="E41" t="b">
        <f>IF(OR(B41=TRUE,C41=TRUE,D41=TRUE),FALSE,TRUE)</f>
        <v>1</v>
      </c>
      <c r="G41" t="str">
        <v>MBC</v>
      </c>
      <c r="H41" t="str">
        <f>IF(ISNUMBER(SEARCH("muf",A41)),"Chêne blanc","Blanc")</f>
        <v>Chêne blanc</v>
      </c>
      <c r="I41" t="str">
        <f>CONCAT(G41,IF(H41="","",IF(H41="Blanc","-CW","-WWO")))</f>
        <v>MBC-WWO</v>
      </c>
      <c r="J41" t="str">
        <f>IFERROR(VLOOKUP(K41,Categories!$A$2:$C$41,2,FALSE()),"⚠ slug introuvable")</f>
        <v>base-cabinet</v>
      </c>
      <c r="K41" t="str">
        <v>base-microwave-cabinet</v>
      </c>
      <c r="L41" t="str">
        <f>IFERROR(VLOOKUP(J41,Categories!$A$2:$C$41,3,FALSE()),"⚠ slug introuvable")</f>
        <v>Armoire du bas</v>
      </c>
      <c r="M41" t="str">
        <f>IFERROR(VLOOKUP(K41,Categories!$A$2:$C$41,3,FALSE()),"⚠ slug introuvable")</f>
        <v>Micro-ondes</v>
      </c>
      <c r="N41" t="str">
        <v>Armoire de cuisine du bas avec espace micro-ondes et 1 tiroir</v>
      </c>
      <c r="O41" t="str">
        <f>CONCAT(N41," (",AA41,""")")</f>
        <v>Armoire de cuisine du bas avec espace micro-ondes et 1 tiroir (27")</v>
      </c>
      <c r="P41" t="str">
        <f>CONCAT("Micro-ondes"," (",AA41,""")")</f>
        <v>Micro-ondes (27")</v>
      </c>
      <c r="Q41" s="1">
        <v>1794.6</v>
      </c>
      <c r="R41" s="1">
        <f>Q41/11.25</f>
        <v>159.51999999999998</v>
      </c>
      <c r="S41" s="1">
        <f>R41*1.4</f>
        <v>223.32799999999997</v>
      </c>
      <c r="T41" s="1">
        <f>S41*1.1</f>
        <v>245.6608</v>
      </c>
      <c r="U41" s="1">
        <f>T41*1.2</f>
        <v>294.79296</v>
      </c>
      <c r="V41" s="1">
        <f>U41*1.2</f>
        <v>353.751552</v>
      </c>
      <c r="W41" s="1">
        <f>V41*1.1</f>
        <v>389.12670720000006</v>
      </c>
      <c r="X41" s="1">
        <f>W41</f>
        <v>389.12670720000006</v>
      </c>
      <c r="Y41" s="2">
        <v>0.4</v>
      </c>
      <c r="Z41" s="1">
        <f>X41*(1+Y41)</f>
        <v>544.77739008</v>
      </c>
      <c r="AA41">
        <v>27</v>
      </c>
      <c r="AB41">
        <v>34.5</v>
      </c>
      <c r="AC41">
        <v>24</v>
      </c>
      <c r="AD41">
        <v>0</v>
      </c>
      <c r="AE41">
        <v>1</v>
      </c>
      <c r="AF41" t="str">
        <v>Base kitchen cabinet with microwave space and 1 drawer (27")</v>
      </c>
      <c r="AG41" t="str">
        <v>Microwave (27")</v>
      </c>
    </row>
    <row r="42" hidden="1">
      <c r="A42" t="str">
        <v>S8-CM2.5X120</v>
      </c>
      <c r="E42" t="b">
        <f>IF(OR(B42=TRUE,C42=TRUE,D42=TRUE),FALSE,TRUE)</f>
        <v>1</v>
      </c>
      <c r="G42" t="str">
        <v>CM2.5-120</v>
      </c>
      <c r="H42" t="str">
        <f>IF(ISNUMBER(SEARCH("muf",A42)),"Chêne blanc","Blanc")</f>
        <v>Blanc</v>
      </c>
      <c r="I42" t="str">
        <f>CONCAT(G42,IF(H42="","",IF(H42="Blanc","-CW","-WWO")))</f>
        <v>CM2.5-120-CW</v>
      </c>
      <c r="J42" t="str">
        <f>IFERROR(VLOOKUP(K42,Categories!$A$2:$C$41,2,FALSE()),"⚠ slug introuvable")</f>
        <v>fillers-panels-moldings</v>
      </c>
      <c r="K42" t="str">
        <v>moldings</v>
      </c>
      <c r="L42" t="str">
        <f>IFERROR(VLOOKUP(J42,Categories!$A$2:$C$41,3,FALSE()),"⚠ slug introuvable")</f>
        <v>Fillers, panneaux &amp; moulures</v>
      </c>
      <c r="M42" t="str">
        <f>IFERROR(VLOOKUP(K42,Categories!$A$2:$C$41,3,FALSE()),"⚠ slug introuvable")</f>
        <v>Moulures</v>
      </c>
      <c r="N42" t="str">
        <v>Moulure de couronne pour armoires de cuisine</v>
      </c>
      <c r="O42" t="str">
        <f>CONCAT(N42," (",AA42,""" x ",AB42,""")")</f>
        <v>Moulure de couronne pour armoires de cuisine (2.5" x 120")</v>
      </c>
      <c r="P42" t="str">
        <f>CONCAT("Moulure de couronne"," (",AA42,""" x ",AB42,""")")</f>
        <v>Moulure de couronne (2.5" x 120")</v>
      </c>
      <c r="Q42" s="1">
        <v>217</v>
      </c>
      <c r="R42" s="1">
        <f>Q42/11.25</f>
        <v>19.288888888888888</v>
      </c>
      <c r="S42" s="1">
        <f>R42*1.4</f>
        <v>27.00444444444444</v>
      </c>
      <c r="T42" s="1">
        <f>S42*1.1</f>
        <v>29.70488888888889</v>
      </c>
      <c r="U42" s="1">
        <f>T42*1.2</f>
        <v>35.64586666666666</v>
      </c>
      <c r="V42" s="1">
        <f>U42*1.2</f>
        <v>42.77504</v>
      </c>
      <c r="W42" s="1">
        <f>V42*1.1</f>
        <v>47.052544</v>
      </c>
      <c r="X42" s="1">
        <f>W42</f>
        <v>47.052544</v>
      </c>
      <c r="Y42" s="2">
        <v>0.4</v>
      </c>
      <c r="Z42" s="1">
        <f>X42*(1+Y42)</f>
        <v>65.87356159999999</v>
      </c>
      <c r="AA42">
        <v>2.5</v>
      </c>
      <c r="AB42">
        <v>120</v>
      </c>
      <c r="AC42">
        <v>0.75</v>
      </c>
      <c r="AD42" t="str">
        <v>N/A</v>
      </c>
      <c r="AE42" t="str">
        <v>N/A</v>
      </c>
      <c r="AF42" t="str">
        <v>Crown molding for kitchen cabinets (2.5" x 120")</v>
      </c>
      <c r="AG42" t="str">
        <v>Crown molding (2.5" x 120")</v>
      </c>
    </row>
    <row r="43" hidden="1">
      <c r="A43" t="str">
        <v>S8-CM2.5X126</v>
      </c>
      <c r="E43" t="b">
        <f>IF(OR(B43=TRUE,C43=TRUE,D43=TRUE),FALSE,TRUE)</f>
        <v>1</v>
      </c>
      <c r="G43" t="str">
        <v>CM2.5-126</v>
      </c>
      <c r="H43" t="str">
        <f>IF(ISNUMBER(SEARCH("muf",A43)),"Chêne blanc","Blanc")</f>
        <v>Blanc</v>
      </c>
      <c r="I43" t="str">
        <f>CONCAT(G43,IF(H43="","",IF(H43="Blanc","-CW","-WWO")))</f>
        <v>CM2.5-126-CW</v>
      </c>
      <c r="J43" t="str">
        <f>IFERROR(VLOOKUP(K43,Categories!$A$2:$C$41,2,FALSE()),"⚠ slug introuvable")</f>
        <v>fillers-panels-moldings</v>
      </c>
      <c r="K43" t="str">
        <v>moldings</v>
      </c>
      <c r="L43" t="str">
        <f>IFERROR(VLOOKUP(J43,Categories!$A$2:$C$41,3,FALSE()),"⚠ slug introuvable")</f>
        <v>Fillers, panneaux &amp; moulures</v>
      </c>
      <c r="M43" t="str">
        <f>IFERROR(VLOOKUP(K43,Categories!$A$2:$C$41,3,FALSE()),"⚠ slug introuvable")</f>
        <v>Moulures</v>
      </c>
      <c r="N43" t="str">
        <v>Moulure de couronne pour armoires de cuisine</v>
      </c>
      <c r="O43" t="str">
        <f>CONCAT(N43," (",AA43,""" x ",AB43,""")")</f>
        <v>Moulure de couronne pour armoires de cuisine (2.5" x 126")</v>
      </c>
      <c r="P43" t="str">
        <f>CONCAT("Moulure de couronne"," (",AA43,""" x ",AB43,""")")</f>
        <v>Moulure de couronne (2.5" x 126")</v>
      </c>
      <c r="Q43" s="1">
        <v>242</v>
      </c>
      <c r="R43" s="1">
        <f>Q43/11.25</f>
        <v>21.511111111111113</v>
      </c>
      <c r="S43" s="1">
        <f>R43*1.4</f>
        <v>30.115555555555556</v>
      </c>
      <c r="T43" s="1">
        <f>S43*1.1</f>
        <v>33.12711111111111</v>
      </c>
      <c r="U43" s="1">
        <f>T43*1.2</f>
        <v>39.75253333333333</v>
      </c>
      <c r="V43" s="1">
        <f>U43*1.2</f>
        <v>47.703039999999994</v>
      </c>
      <c r="W43" s="1">
        <f>V43*1.1</f>
        <v>52.473344</v>
      </c>
      <c r="X43" s="1">
        <f>W43</f>
        <v>52.473344</v>
      </c>
      <c r="Y43" s="2">
        <v>0.4</v>
      </c>
      <c r="Z43" s="1">
        <f>X43*(1+Y43)</f>
        <v>73.4626816</v>
      </c>
      <c r="AA43">
        <v>2.5</v>
      </c>
      <c r="AB43">
        <v>126</v>
      </c>
      <c r="AC43">
        <v>0.75</v>
      </c>
      <c r="AD43" t="str">
        <v>N/A</v>
      </c>
      <c r="AE43" t="str">
        <v>N/A</v>
      </c>
      <c r="AF43" t="str">
        <v>Crown molding for kitchen cabinets (2.5" x 126")</v>
      </c>
      <c r="AG43" t="str">
        <v>Crown molding (2.5" x 126")</v>
      </c>
    </row>
    <row r="44" hidden="1">
      <c r="A44" t="str">
        <v>S8-CM2.5X96</v>
      </c>
      <c r="E44" t="b">
        <f>IF(OR(B44=TRUE,C44=TRUE,D44=TRUE),FALSE,TRUE)</f>
        <v>1</v>
      </c>
      <c r="G44" t="str">
        <v>CM2.5-96</v>
      </c>
      <c r="H44" t="str">
        <f>IF(ISNUMBER(SEARCH("muf",A44)),"Chêne blanc","Blanc")</f>
        <v>Blanc</v>
      </c>
      <c r="I44" t="str">
        <f>CONCAT(G44,IF(H44="","",IF(H44="Blanc","-CW","-WWO")))</f>
        <v>CM2.5-96-CW</v>
      </c>
      <c r="J44" t="str">
        <f>IFERROR(VLOOKUP(K44,Categories!$A$2:$C$41,2,FALSE()),"⚠ slug introuvable")</f>
        <v>fillers-panels-moldings</v>
      </c>
      <c r="K44" t="str">
        <v>moldings</v>
      </c>
      <c r="L44" t="str">
        <f>IFERROR(VLOOKUP(J44,Categories!$A$2:$C$41,3,FALSE()),"⚠ slug introuvable")</f>
        <v>Fillers, panneaux &amp; moulures</v>
      </c>
      <c r="M44" t="str">
        <f>IFERROR(VLOOKUP(K44,Categories!$A$2:$C$41,3,FALSE()),"⚠ slug introuvable")</f>
        <v>Moulures</v>
      </c>
      <c r="N44" t="str">
        <v>Moulure de couronne pour armoires de cuisine</v>
      </c>
      <c r="O44" t="str">
        <f>CONCAT(N44," (",AA44,""" x ",AB44,""")")</f>
        <v>Moulure de couronne pour armoires de cuisine (2.5" x 96")</v>
      </c>
      <c r="P44" t="str">
        <f>CONCAT("Moulure de couronne"," (",AA44,""" x ",AB44,""")")</f>
        <v>Moulure de couronne (2.5" x 96")</v>
      </c>
      <c r="Q44" s="1">
        <v>148</v>
      </c>
      <c r="R44" s="1">
        <f>Q44/11.25</f>
        <v>13.155555555555555</v>
      </c>
      <c r="S44" s="1">
        <f>R44*1.4</f>
        <v>18.417777777777776</v>
      </c>
      <c r="T44" s="1">
        <f>S44*1.1</f>
        <v>20.259555555555554</v>
      </c>
      <c r="U44" s="1">
        <f>T44*1.2</f>
        <v>24.311466666666664</v>
      </c>
      <c r="V44" s="1">
        <f>U44*1.2</f>
        <v>29.173759999999994</v>
      </c>
      <c r="W44" s="1">
        <f>V44*1.1</f>
        <v>32.091136</v>
      </c>
      <c r="X44" s="1">
        <f>W44</f>
        <v>32.091136</v>
      </c>
      <c r="Y44" s="2">
        <v>0.4</v>
      </c>
      <c r="Z44" s="1">
        <f>X44*(1+Y44)</f>
        <v>44.92759039999999</v>
      </c>
      <c r="AA44">
        <v>2.5</v>
      </c>
      <c r="AB44">
        <v>96</v>
      </c>
      <c r="AC44">
        <v>0.75</v>
      </c>
      <c r="AD44" t="str">
        <v>N/A</v>
      </c>
      <c r="AE44" t="str">
        <v>N/A</v>
      </c>
      <c r="AF44" t="str">
        <v>Crown molding for kitchen cabinets (2.5" x 96")</v>
      </c>
      <c r="AG44" t="str">
        <v>Crown molding (2.5" x 96")</v>
      </c>
    </row>
    <row r="45" hidden="1">
      <c r="A45" t="str">
        <v>S8-DB12</v>
      </c>
      <c r="E45" t="b">
        <f>IF(OR(B45=TRUE,C45=TRUE,D45=TRUE),FALSE,TRUE)</f>
        <v>1</v>
      </c>
      <c r="G45" t="str">
        <v>DRBC12</v>
      </c>
      <c r="H45" t="str">
        <f>IF(ISNUMBER(SEARCH("muf",A45)),"Chêne blanc","Blanc")</f>
        <v>Blanc</v>
      </c>
      <c r="I45" t="str">
        <f>CONCAT(G45,IF(H45="","",IF(H45="Blanc","-CW","-WWO")))</f>
        <v>DRBC12-CW</v>
      </c>
      <c r="J45" t="str">
        <f>IFERROR(VLOOKUP(K45,Categories!$A$2:$C$41,2,FALSE()),"⚠ slug introuvable")</f>
        <v>base-cabinet</v>
      </c>
      <c r="K45" t="str">
        <v>base-cabinet-drawer</v>
      </c>
      <c r="L45" t="str">
        <f>IFERROR(VLOOKUP(J45,Categories!$A$2:$C$41,3,FALSE()),"⚠ slug introuvable")</f>
        <v>Armoire du bas</v>
      </c>
      <c r="M45" t="str">
        <f>IFERROR(VLOOKUP(K45,Categories!$A$2:$C$41,3,FALSE()),"⚠ slug introuvable")</f>
        <v>Tiroir</v>
      </c>
      <c r="N45" t="str">
        <v>Armoire de cuisine du bas avec 3 tiroirs</v>
      </c>
      <c r="O45" t="str">
        <f>CONCAT(N45," (",AA45,""")")</f>
        <v>Armoire de cuisine du bas avec 3 tiroirs (12")</v>
      </c>
      <c r="P45" t="str">
        <f>CONCAT("3 tiroirs"," (",AA45,""")")</f>
        <v>3 tiroirs (12")</v>
      </c>
      <c r="Q45" s="1">
        <v>949</v>
      </c>
      <c r="R45" s="1">
        <f>Q45/11.25</f>
        <v>84.35555555555555</v>
      </c>
      <c r="S45" s="1">
        <f>R45*1.4</f>
        <v>118.09777777777776</v>
      </c>
      <c r="T45" s="1">
        <f>S45*1.1</f>
        <v>129.90755555555555</v>
      </c>
      <c r="U45" s="1">
        <f>T45*1.2</f>
        <v>155.88906666666665</v>
      </c>
      <c r="V45" s="1">
        <f>U45*1.2</f>
        <v>187.06687999999997</v>
      </c>
      <c r="W45" s="1">
        <f>V45*1.1</f>
        <v>205.77356799999998</v>
      </c>
      <c r="X45" s="1">
        <f>W45</f>
        <v>205.77356799999998</v>
      </c>
      <c r="Y45" s="2">
        <v>0.4</v>
      </c>
      <c r="Z45" s="1">
        <f>X45*(1+Y45)</f>
        <v>288.08299519999997</v>
      </c>
      <c r="AA45">
        <v>12</v>
      </c>
      <c r="AB45">
        <v>34.5</v>
      </c>
      <c r="AC45">
        <v>24</v>
      </c>
      <c r="AD45">
        <v>0</v>
      </c>
      <c r="AE45">
        <v>3</v>
      </c>
      <c r="AF45" t="str">
        <v>Base kitchen cabinet with 3 drawers (12")</v>
      </c>
      <c r="AG45" t="str">
        <v>3 drawers (12")</v>
      </c>
    </row>
    <row r="46" hidden="1">
      <c r="A46" t="str">
        <v>S8-DB12-muf</v>
      </c>
      <c r="E46" t="b">
        <f>IF(OR(B46=TRUE,C46=TRUE,D46=TRUE),FALSE,TRUE)</f>
        <v>1</v>
      </c>
      <c r="G46" t="str">
        <v>DRBC12</v>
      </c>
      <c r="H46" t="str">
        <f>IF(ISNUMBER(SEARCH("muf",A46)),"Chêne blanc","Blanc")</f>
        <v>Chêne blanc</v>
      </c>
      <c r="I46" t="str">
        <f>CONCAT(G46,IF(H46="","",IF(H46="Blanc","-CW","-WWO")))</f>
        <v>DRBC12-WWO</v>
      </c>
      <c r="J46" t="str">
        <f>IFERROR(VLOOKUP(K46,Categories!$A$2:$C$41,2,FALSE()),"⚠ slug introuvable")</f>
        <v>base-cabinet</v>
      </c>
      <c r="K46" t="str">
        <v>base-cabinet-drawer</v>
      </c>
      <c r="L46" t="str">
        <f>IFERROR(VLOOKUP(J46,Categories!$A$2:$C$41,3,FALSE()),"⚠ slug introuvable")</f>
        <v>Armoire du bas</v>
      </c>
      <c r="M46" t="str">
        <f>IFERROR(VLOOKUP(K46,Categories!$A$2:$C$41,3,FALSE()),"⚠ slug introuvable")</f>
        <v>Tiroir</v>
      </c>
      <c r="N46" t="str">
        <v>Armoire de cuisine du bas avec 3 tiroirs</v>
      </c>
      <c r="O46" t="str">
        <f>CONCAT(N46," (",AA46,""")")</f>
        <v>Armoire de cuisine du bas avec 3 tiroirs (12")</v>
      </c>
      <c r="P46" t="str">
        <f>CONCAT("3 tiroirs"," (",AA46,""")")</f>
        <v>3 tiroirs (12")</v>
      </c>
      <c r="Q46" s="1">
        <v>1153</v>
      </c>
      <c r="R46" s="1">
        <f>Q46/11.25</f>
        <v>102.4888888888889</v>
      </c>
      <c r="S46" s="1">
        <f>R46*1.4</f>
        <v>143.48444444444445</v>
      </c>
      <c r="T46" s="1">
        <f>S46*1.1</f>
        <v>157.8328888888889</v>
      </c>
      <c r="U46" s="1">
        <f>T46*1.2</f>
        <v>189.39946666666668</v>
      </c>
      <c r="V46" s="1">
        <f>U46*1.2</f>
        <v>227.27936000000003</v>
      </c>
      <c r="W46" s="1">
        <f>V46*1.1</f>
        <v>250.00729600000005</v>
      </c>
      <c r="X46" s="1">
        <f>W46</f>
        <v>250.00729600000005</v>
      </c>
      <c r="Y46" s="2">
        <v>0.4</v>
      </c>
      <c r="Z46" s="1">
        <f>X46*(1+Y46)</f>
        <v>350.01021440000005</v>
      </c>
      <c r="AA46">
        <v>12</v>
      </c>
      <c r="AB46">
        <v>34.5</v>
      </c>
      <c r="AC46">
        <v>24</v>
      </c>
      <c r="AD46">
        <v>0</v>
      </c>
      <c r="AE46">
        <v>3</v>
      </c>
      <c r="AF46" t="str">
        <v>Base kitchen cabinet with 3 drawers (12")</v>
      </c>
      <c r="AG46" t="str">
        <v>3 drawers (12")</v>
      </c>
    </row>
    <row r="47" hidden="1">
      <c r="A47" t="str">
        <v>S8-DB12-2-muf</v>
      </c>
      <c r="E47" t="b">
        <f>IF(OR(B47=TRUE,C47=TRUE,D47=TRUE),FALSE,TRUE)</f>
        <v>1</v>
      </c>
      <c r="G47" t="str">
        <v>DRBC12-2</v>
      </c>
      <c r="H47" t="str">
        <f>IF(ISNUMBER(SEARCH("muf",A47)),"Chêne blanc","Blanc")</f>
        <v>Chêne blanc</v>
      </c>
      <c r="I47" t="str">
        <f>CONCAT(G47,IF(H47="","",IF(H47="Blanc","-CW","-WWO")))</f>
        <v>DRBC12-2-WWO</v>
      </c>
      <c r="J47" t="str">
        <f>IFERROR(VLOOKUP(K47,Categories!$A$2:$C$41,2,FALSE()),"⚠ slug introuvable")</f>
        <v>base-cabinet</v>
      </c>
      <c r="K47" t="str">
        <v>base-cabinet-drawer</v>
      </c>
      <c r="L47" t="str">
        <f>IFERROR(VLOOKUP(J47,Categories!$A$2:$C$41,3,FALSE()),"⚠ slug introuvable")</f>
        <v>Armoire du bas</v>
      </c>
      <c r="M47" t="str">
        <f>IFERROR(VLOOKUP(K47,Categories!$A$2:$C$41,3,FALSE()),"⚠ slug introuvable")</f>
        <v>Tiroir</v>
      </c>
      <c r="N47" t="str">
        <v>Armoire de cuisine du bas avec 2 tiroirs</v>
      </c>
      <c r="O47" t="str">
        <f>CONCAT(N47," (",AA47,""")")</f>
        <v>Armoire de cuisine du bas avec 2 tiroirs (12")</v>
      </c>
      <c r="P47" t="str">
        <f>CONCAT("2 tiroirs"," (",AA47,""")")</f>
        <v>2 tiroirs (12")</v>
      </c>
      <c r="Q47" s="1">
        <v>865</v>
      </c>
      <c r="R47" s="1">
        <f>Q47/11.25</f>
        <v>76.88888888888889</v>
      </c>
      <c r="S47" s="1">
        <f>R47*1.4</f>
        <v>107.64444444444443</v>
      </c>
      <c r="T47" s="1">
        <f>S47*1.1</f>
        <v>118.40888888888888</v>
      </c>
      <c r="U47" s="1">
        <f>T47*1.2</f>
        <v>142.09066666666666</v>
      </c>
      <c r="V47" s="1">
        <f>U47*1.2</f>
        <v>170.50879999999998</v>
      </c>
      <c r="W47" s="1">
        <f>V47*1.1</f>
        <v>187.55968</v>
      </c>
      <c r="X47" s="1">
        <f>W47</f>
        <v>187.55968</v>
      </c>
      <c r="Y47" s="2">
        <v>0.4</v>
      </c>
      <c r="Z47" s="1">
        <f>X47*(1+Y47)</f>
        <v>262.58355199999994</v>
      </c>
      <c r="AA47">
        <v>12</v>
      </c>
      <c r="AB47">
        <v>34.5</v>
      </c>
      <c r="AC47">
        <v>24</v>
      </c>
      <c r="AD47">
        <v>0</v>
      </c>
      <c r="AE47">
        <v>2</v>
      </c>
      <c r="AF47" t="str">
        <v>Base kitchen cabinet with 2 drawers (12")</v>
      </c>
      <c r="AG47" t="str">
        <v>2 drawers (12")</v>
      </c>
    </row>
    <row r="48" hidden="1">
      <c r="A48" t="str">
        <v>S8-DB15</v>
      </c>
      <c r="E48" t="b">
        <f>IF(OR(B48=TRUE,C48=TRUE,D48=TRUE),FALSE,TRUE)</f>
        <v>1</v>
      </c>
      <c r="G48" t="str">
        <v>DRBC15</v>
      </c>
      <c r="H48" t="str">
        <f>IF(ISNUMBER(SEARCH("muf",A48)),"Chêne blanc","Blanc")</f>
        <v>Blanc</v>
      </c>
      <c r="I48" t="str">
        <f>CONCAT(G48,IF(H48="","",IF(H48="Blanc","-CW","-WWO")))</f>
        <v>DRBC15-CW</v>
      </c>
      <c r="J48" t="str">
        <f>IFERROR(VLOOKUP(K48,Categories!$A$2:$C$41,2,FALSE()),"⚠ slug introuvable")</f>
        <v>base-cabinet</v>
      </c>
      <c r="K48" t="str">
        <v>base-cabinet-drawer</v>
      </c>
      <c r="L48" t="str">
        <f>IFERROR(VLOOKUP(J48,Categories!$A$2:$C$41,3,FALSE()),"⚠ slug introuvable")</f>
        <v>Armoire du bas</v>
      </c>
      <c r="M48" t="str">
        <f>IFERROR(VLOOKUP(K48,Categories!$A$2:$C$41,3,FALSE()),"⚠ slug introuvable")</f>
        <v>Tiroir</v>
      </c>
      <c r="N48" t="str">
        <v>Armoire de cuisine du bas avec 3 tiroirs</v>
      </c>
      <c r="O48" t="str">
        <f>CONCAT(N48," (",AA48,""")")</f>
        <v>Armoire de cuisine du bas avec 3 tiroirs (15")</v>
      </c>
      <c r="P48" t="str">
        <f>CONCAT("3 tiroirs"," (",AA48,""")")</f>
        <v>3 tiroirs (15")</v>
      </c>
      <c r="Q48" s="1">
        <v>1036</v>
      </c>
      <c r="R48" s="1">
        <f>Q48/11.25</f>
        <v>92.08888888888889</v>
      </c>
      <c r="S48" s="1">
        <f>R48*1.4</f>
        <v>128.92444444444445</v>
      </c>
      <c r="T48" s="1">
        <f>S48*1.1</f>
        <v>141.8168888888889</v>
      </c>
      <c r="U48" s="1">
        <f>T48*1.2</f>
        <v>170.18026666666668</v>
      </c>
      <c r="V48" s="1">
        <f>U48*1.2</f>
        <v>204.21632000000002</v>
      </c>
      <c r="W48" s="1">
        <f>V48*1.1</f>
        <v>224.63795200000004</v>
      </c>
      <c r="X48" s="1">
        <f>W48</f>
        <v>224.63795200000004</v>
      </c>
      <c r="Y48" s="2">
        <v>0.4</v>
      </c>
      <c r="Z48" s="1">
        <f>X48*(1+Y48)</f>
        <v>314.4931328</v>
      </c>
      <c r="AA48">
        <v>15</v>
      </c>
      <c r="AB48">
        <v>34.5</v>
      </c>
      <c r="AC48">
        <v>24</v>
      </c>
      <c r="AD48">
        <v>0</v>
      </c>
      <c r="AE48">
        <v>3</v>
      </c>
      <c r="AF48" t="str">
        <v>Base kitchen cabinet with 3 drawers (15")</v>
      </c>
      <c r="AG48" t="str">
        <v>3 drawers (15")</v>
      </c>
    </row>
    <row r="49" hidden="1">
      <c r="A49" t="str">
        <v>S8-DB15-muf</v>
      </c>
      <c r="E49" t="b">
        <f>IF(OR(B49=TRUE,C49=TRUE,D49=TRUE),FALSE,TRUE)</f>
        <v>1</v>
      </c>
      <c r="G49" t="str">
        <v>DRBC15</v>
      </c>
      <c r="H49" t="str">
        <f>IF(ISNUMBER(SEARCH("muf",A49)),"Chêne blanc","Blanc")</f>
        <v>Chêne blanc</v>
      </c>
      <c r="I49" t="str">
        <f>CONCAT(G49,IF(H49="","",IF(H49="Blanc","-CW","-WWO")))</f>
        <v>DRBC15-WWO</v>
      </c>
      <c r="J49" t="str">
        <f>IFERROR(VLOOKUP(K49,Categories!$A$2:$C$41,2,FALSE()),"⚠ slug introuvable")</f>
        <v>base-cabinet</v>
      </c>
      <c r="K49" t="str">
        <v>base-cabinet-drawer</v>
      </c>
      <c r="L49" t="str">
        <f>IFERROR(VLOOKUP(J49,Categories!$A$2:$C$41,3,FALSE()),"⚠ slug introuvable")</f>
        <v>Armoire du bas</v>
      </c>
      <c r="M49" t="str">
        <f>IFERROR(VLOOKUP(K49,Categories!$A$2:$C$41,3,FALSE()),"⚠ slug introuvable")</f>
        <v>Tiroir</v>
      </c>
      <c r="N49" t="str">
        <v>Armoire de cuisine du bas avec 3 tiroirs</v>
      </c>
      <c r="O49" t="str">
        <f>CONCAT(N49," (",AA49,""")")</f>
        <v>Armoire de cuisine du bas avec 3 tiroirs (15")</v>
      </c>
      <c r="P49" t="str">
        <f>CONCAT("3 tiroirs"," (",AA49,""")")</f>
        <v>3 tiroirs (15")</v>
      </c>
      <c r="Q49" s="1">
        <v>1618.31</v>
      </c>
      <c r="R49" s="1">
        <f>Q49/11.25</f>
        <v>143.84977777777777</v>
      </c>
      <c r="S49" s="1">
        <f>R49*1.4</f>
        <v>201.38968888888888</v>
      </c>
      <c r="T49" s="1">
        <f>S49*1.1</f>
        <v>221.5286577777778</v>
      </c>
      <c r="U49" s="1">
        <f>T49*1.2</f>
        <v>265.8343893333333</v>
      </c>
      <c r="V49" s="1">
        <f>U49*1.2</f>
        <v>319.0012672</v>
      </c>
      <c r="W49" s="1">
        <f>V49*1.1</f>
        <v>350.90139392</v>
      </c>
      <c r="X49" s="1">
        <f>W49</f>
        <v>350.90139392</v>
      </c>
      <c r="Y49" s="2">
        <v>0.4</v>
      </c>
      <c r="Z49" s="1">
        <f>X49*(1+Y49)</f>
        <v>491.2619514879999</v>
      </c>
      <c r="AA49">
        <v>15</v>
      </c>
      <c r="AB49">
        <v>34.5</v>
      </c>
      <c r="AC49">
        <v>24</v>
      </c>
      <c r="AD49">
        <v>0</v>
      </c>
      <c r="AE49">
        <v>3</v>
      </c>
      <c r="AF49" t="str">
        <v>Base kitchen cabinet with 3 drawers (15")</v>
      </c>
      <c r="AG49" t="str">
        <v>3 drawers (15")</v>
      </c>
    </row>
    <row r="50" hidden="1">
      <c r="A50" t="str">
        <v>S8-DB15-2-muf</v>
      </c>
      <c r="E50" t="b">
        <f>IF(OR(B50=TRUE,C50=TRUE,D50=TRUE),FALSE,TRUE)</f>
        <v>1</v>
      </c>
      <c r="G50" t="str">
        <v>DRBC15-2</v>
      </c>
      <c r="H50" t="str">
        <f>IF(ISNUMBER(SEARCH("muf",A50)),"Chêne blanc","Blanc")</f>
        <v>Chêne blanc</v>
      </c>
      <c r="I50" t="str">
        <f>CONCAT(G50,IF(H50="","",IF(H50="Blanc","-CW","-WWO")))</f>
        <v>DRBC15-2-WWO</v>
      </c>
      <c r="J50" t="str">
        <f>IFERROR(VLOOKUP(K50,Categories!$A$2:$C$41,2,FALSE()),"⚠ slug introuvable")</f>
        <v>base-cabinet</v>
      </c>
      <c r="K50" t="str">
        <v>base-cabinet-drawer</v>
      </c>
      <c r="L50" t="str">
        <f>IFERROR(VLOOKUP(J50,Categories!$A$2:$C$41,3,FALSE()),"⚠ slug introuvable")</f>
        <v>Armoire du bas</v>
      </c>
      <c r="M50" t="str">
        <f>IFERROR(VLOOKUP(K50,Categories!$A$2:$C$41,3,FALSE()),"⚠ slug introuvable")</f>
        <v>Tiroir</v>
      </c>
      <c r="N50" t="str">
        <v>Armoire de cuisine du bas avec 2 tiroirs</v>
      </c>
      <c r="O50" t="str">
        <f>CONCAT(N50," (",AA50,""")")</f>
        <v>Armoire de cuisine du bas avec 2 tiroirs (15")</v>
      </c>
      <c r="P50" t="str">
        <f>CONCAT("2 tiroirs"," (",AA50,""")")</f>
        <v>2 tiroirs (15")</v>
      </c>
      <c r="Q50" s="1">
        <v>944</v>
      </c>
      <c r="R50" s="1">
        <f>Q50/11.25</f>
        <v>83.91111111111111</v>
      </c>
      <c r="S50" s="1">
        <f>R50*1.4</f>
        <v>117.47555555555554</v>
      </c>
      <c r="T50" s="1">
        <f>S50*1.1</f>
        <v>129.2231111111111</v>
      </c>
      <c r="U50" s="1">
        <f>T50*1.2</f>
        <v>155.06773333333334</v>
      </c>
      <c r="V50" s="1">
        <f>U50*1.2</f>
        <v>186.08128</v>
      </c>
      <c r="W50" s="1">
        <f>V50*1.1</f>
        <v>204.68940800000001</v>
      </c>
      <c r="X50" s="1">
        <f>W50</f>
        <v>204.68940800000001</v>
      </c>
      <c r="Y50" s="2">
        <v>0.4</v>
      </c>
      <c r="Z50" s="1">
        <f>X50*(1+Y50)</f>
        <v>286.5651712</v>
      </c>
      <c r="AA50">
        <v>15</v>
      </c>
      <c r="AB50">
        <v>34.5</v>
      </c>
      <c r="AC50">
        <v>24</v>
      </c>
      <c r="AD50">
        <v>0</v>
      </c>
      <c r="AE50">
        <v>2</v>
      </c>
      <c r="AF50" t="str">
        <v>Base kitchen cabinet with 2 drawers (15")</v>
      </c>
      <c r="AG50" t="str">
        <v>2 drawers (15")</v>
      </c>
    </row>
    <row r="51" hidden="1">
      <c r="A51" t="str">
        <v>S8-DB18</v>
      </c>
      <c r="E51" t="b">
        <f>IF(OR(B51=TRUE,C51=TRUE,D51=TRUE),FALSE,TRUE)</f>
        <v>1</v>
      </c>
      <c r="G51" t="str">
        <v>DRBC18</v>
      </c>
      <c r="H51" t="str">
        <f>IF(ISNUMBER(SEARCH("muf",A51)),"Chêne blanc","Blanc")</f>
        <v>Blanc</v>
      </c>
      <c r="I51" t="str">
        <f>CONCAT(G51,IF(H51="","",IF(H51="Blanc","-CW","-WWO")))</f>
        <v>DRBC18-CW</v>
      </c>
      <c r="J51" t="str">
        <f>IFERROR(VLOOKUP(K51,Categories!$A$2:$C$41,2,FALSE()),"⚠ slug introuvable")</f>
        <v>base-cabinet</v>
      </c>
      <c r="K51" t="str">
        <v>base-cabinet-drawer</v>
      </c>
      <c r="L51" t="str">
        <f>IFERROR(VLOOKUP(J51,Categories!$A$2:$C$41,3,FALSE()),"⚠ slug introuvable")</f>
        <v>Armoire du bas</v>
      </c>
      <c r="M51" t="str">
        <f>IFERROR(VLOOKUP(K51,Categories!$A$2:$C$41,3,FALSE()),"⚠ slug introuvable")</f>
        <v>Tiroir</v>
      </c>
      <c r="N51" t="str">
        <v>Armoire de cuisine du bas avec 3 tiroirs</v>
      </c>
      <c r="O51" t="str">
        <f>CONCAT(N51," (",AA51,""")")</f>
        <v>Armoire de cuisine du bas avec 3 tiroirs (18")</v>
      </c>
      <c r="P51" t="str">
        <f>CONCAT("3 tiroirs"," (",AA51,""")")</f>
        <v>3 tiroirs (18")</v>
      </c>
      <c r="Q51" s="1">
        <v>1076</v>
      </c>
      <c r="R51" s="1">
        <f>Q51/11.25</f>
        <v>95.64444444444445</v>
      </c>
      <c r="S51" s="1">
        <f>R51*1.4</f>
        <v>133.9022222222222</v>
      </c>
      <c r="T51" s="1">
        <f>S51*1.1</f>
        <v>147.29244444444444</v>
      </c>
      <c r="U51" s="1">
        <f>T51*1.2</f>
        <v>176.75093333333334</v>
      </c>
      <c r="V51" s="1">
        <f>U51*1.2</f>
        <v>212.10112</v>
      </c>
      <c r="W51" s="1">
        <f>V51*1.1</f>
        <v>233.31123200000002</v>
      </c>
      <c r="X51" s="1">
        <f>W51</f>
        <v>233.31123200000002</v>
      </c>
      <c r="Y51" s="2">
        <v>0.4</v>
      </c>
      <c r="Z51" s="1">
        <f>X51*(1+Y51)</f>
        <v>326.6357248</v>
      </c>
      <c r="AA51">
        <v>18</v>
      </c>
      <c r="AB51">
        <v>34.5</v>
      </c>
      <c r="AC51">
        <v>24</v>
      </c>
      <c r="AD51">
        <v>0</v>
      </c>
      <c r="AE51">
        <v>3</v>
      </c>
      <c r="AF51" t="str">
        <v>Base kitchen cabinet with 3 drawers (18")</v>
      </c>
      <c r="AG51" t="str">
        <v>3 drawers (18")</v>
      </c>
    </row>
    <row r="52" hidden="1">
      <c r="A52" t="str">
        <v>S8-DB18-muf</v>
      </c>
      <c r="E52" t="b">
        <f>IF(OR(B52=TRUE,C52=TRUE,D52=TRUE),FALSE,TRUE)</f>
        <v>1</v>
      </c>
      <c r="G52" t="str">
        <v>DRBC18</v>
      </c>
      <c r="H52" t="str">
        <f>IF(ISNUMBER(SEARCH("muf",A52)),"Chêne blanc","Blanc")</f>
        <v>Chêne blanc</v>
      </c>
      <c r="I52" t="str">
        <f>CONCAT(G52,IF(H52="","",IF(H52="Blanc","-CW","-WWO")))</f>
        <v>DRBC18-WWO</v>
      </c>
      <c r="J52" t="str">
        <f>IFERROR(VLOOKUP(K52,Categories!$A$2:$C$41,2,FALSE()),"⚠ slug introuvable")</f>
        <v>base-cabinet</v>
      </c>
      <c r="K52" t="str">
        <v>base-cabinet-drawer</v>
      </c>
      <c r="L52" t="str">
        <f>IFERROR(VLOOKUP(J52,Categories!$A$2:$C$41,3,FALSE()),"⚠ slug introuvable")</f>
        <v>Armoire du bas</v>
      </c>
      <c r="M52" t="str">
        <f>IFERROR(VLOOKUP(K52,Categories!$A$2:$C$41,3,FALSE()),"⚠ slug introuvable")</f>
        <v>Tiroir</v>
      </c>
      <c r="N52" t="str">
        <v>Armoire de cuisine du bas avec 3 tiroirs</v>
      </c>
      <c r="O52" t="str">
        <f>CONCAT(N52," (",AA52,""")")</f>
        <v>Armoire de cuisine du bas avec 3 tiroirs (18")</v>
      </c>
      <c r="P52" t="str">
        <f>CONCAT("3 tiroirs"," (",AA52,""")")</f>
        <v>3 tiroirs (18")</v>
      </c>
      <c r="Q52" s="1">
        <v>1751.96</v>
      </c>
      <c r="R52" s="1">
        <f>Q52/11.25</f>
        <v>155.72977777777777</v>
      </c>
      <c r="S52" s="1">
        <f>R52*1.4</f>
        <v>218.02168888888886</v>
      </c>
      <c r="T52" s="1">
        <f>S52*1.1</f>
        <v>239.82385777777776</v>
      </c>
      <c r="U52" s="1">
        <f>T52*1.2</f>
        <v>287.7886293333333</v>
      </c>
      <c r="V52" s="1">
        <f>U52*1.2</f>
        <v>345.34635519999995</v>
      </c>
      <c r="W52" s="1">
        <f>V52*1.1</f>
        <v>379.88099072</v>
      </c>
      <c r="X52" s="1">
        <f>W52</f>
        <v>379.88099072</v>
      </c>
      <c r="Y52" s="2">
        <v>0.4</v>
      </c>
      <c r="Z52" s="1">
        <f>X52*(1+Y52)</f>
        <v>531.8333870079999</v>
      </c>
      <c r="AA52">
        <v>18</v>
      </c>
      <c r="AB52">
        <v>34.5</v>
      </c>
      <c r="AC52">
        <v>24</v>
      </c>
      <c r="AD52">
        <v>0</v>
      </c>
      <c r="AE52">
        <v>3</v>
      </c>
      <c r="AF52" t="str">
        <v>Base kitchen cabinet with 3 drawers (18")</v>
      </c>
      <c r="AG52" t="str">
        <v>3 drawers (18")</v>
      </c>
    </row>
    <row r="53" hidden="1">
      <c r="A53" t="str">
        <v>S8-DB18-2-muf</v>
      </c>
      <c r="E53" t="b">
        <f>IF(OR(B53=TRUE,C53=TRUE,D53=TRUE),FALSE,TRUE)</f>
        <v>1</v>
      </c>
      <c r="G53" t="str">
        <v>DRBC18-2</v>
      </c>
      <c r="H53" t="str">
        <f>IF(ISNUMBER(SEARCH("muf",A53)),"Chêne blanc","Blanc")</f>
        <v>Chêne blanc</v>
      </c>
      <c r="I53" t="str">
        <f>CONCAT(G53,IF(H53="","",IF(H53="Blanc","-CW","-WWO")))</f>
        <v>DRBC18-2-WWO</v>
      </c>
      <c r="J53" t="str">
        <f>IFERROR(VLOOKUP(K53,Categories!$A$2:$C$41,2,FALSE()),"⚠ slug introuvable")</f>
        <v>base-cabinet</v>
      </c>
      <c r="K53" t="str">
        <v>base-cabinet-drawer</v>
      </c>
      <c r="L53" t="str">
        <f>IFERROR(VLOOKUP(J53,Categories!$A$2:$C$41,3,FALSE()),"⚠ slug introuvable")</f>
        <v>Armoire du bas</v>
      </c>
      <c r="M53" t="str">
        <f>IFERROR(VLOOKUP(K53,Categories!$A$2:$C$41,3,FALSE()),"⚠ slug introuvable")</f>
        <v>Tiroir</v>
      </c>
      <c r="N53" t="str">
        <v>Armoire de cuisine du bas avec 2 tiroirs</v>
      </c>
      <c r="O53" t="str">
        <f>CONCAT(N53," (",AA53,""")")</f>
        <v>Armoire de cuisine du bas avec 2 tiroirs (18")</v>
      </c>
      <c r="P53" t="str">
        <f>CONCAT("2 tiroirs"," (",AA53,""")")</f>
        <v>2 tiroirs (18")</v>
      </c>
      <c r="Q53" s="1">
        <v>1030</v>
      </c>
      <c r="R53" s="1">
        <f>Q53/11.25</f>
        <v>91.55555555555556</v>
      </c>
      <c r="S53" s="1">
        <f>R53*1.4</f>
        <v>128.17777777777778</v>
      </c>
      <c r="T53" s="1">
        <f>S53*1.1</f>
        <v>140.99555555555557</v>
      </c>
      <c r="U53" s="1">
        <f>T53*1.2</f>
        <v>169.19466666666668</v>
      </c>
      <c r="V53" s="1">
        <f>U53*1.2</f>
        <v>203.0336</v>
      </c>
      <c r="W53" s="1">
        <f>V53*1.1</f>
        <v>223.33696000000003</v>
      </c>
      <c r="X53" s="1">
        <f>W53</f>
        <v>223.33696000000003</v>
      </c>
      <c r="Y53" s="2">
        <v>0.4</v>
      </c>
      <c r="Z53" s="1">
        <f>X53*(1+Y53)</f>
        <v>312.67174400000005</v>
      </c>
      <c r="AA53">
        <v>18</v>
      </c>
      <c r="AB53">
        <v>34.5</v>
      </c>
      <c r="AC53">
        <v>24</v>
      </c>
      <c r="AD53">
        <v>0</v>
      </c>
      <c r="AE53">
        <v>2</v>
      </c>
      <c r="AF53" t="str">
        <v>Base kitchen cabinet with 2 drawers (18")</v>
      </c>
      <c r="AG53" t="str">
        <v>2 drawers (18")</v>
      </c>
    </row>
    <row r="54" hidden="1">
      <c r="A54" t="str">
        <v>S8-DB21</v>
      </c>
      <c r="E54" t="b">
        <f>IF(OR(B54=TRUE,C54=TRUE,D54=TRUE),FALSE,TRUE)</f>
        <v>1</v>
      </c>
      <c r="G54" t="str">
        <v>DRBC21</v>
      </c>
      <c r="H54" t="str">
        <f>IF(ISNUMBER(SEARCH("muf",A54)),"Chêne blanc","Blanc")</f>
        <v>Blanc</v>
      </c>
      <c r="I54" t="str">
        <f>CONCAT(G54,IF(H54="","",IF(H54="Blanc","-CW","-WWO")))</f>
        <v>DRBC21-CW</v>
      </c>
      <c r="J54" t="str">
        <f>IFERROR(VLOOKUP(K54,Categories!$A$2:$C$41,2,FALSE()),"⚠ slug introuvable")</f>
        <v>base-cabinet</v>
      </c>
      <c r="K54" t="str">
        <v>base-cabinet-drawer</v>
      </c>
      <c r="L54" t="str">
        <f>IFERROR(VLOOKUP(J54,Categories!$A$2:$C$41,3,FALSE()),"⚠ slug introuvable")</f>
        <v>Armoire du bas</v>
      </c>
      <c r="M54" t="str">
        <f>IFERROR(VLOOKUP(K54,Categories!$A$2:$C$41,3,FALSE()),"⚠ slug introuvable")</f>
        <v>Tiroir</v>
      </c>
      <c r="N54" t="str">
        <v>Armoire de cuisine du bas avec 3 tiroirs</v>
      </c>
      <c r="O54" t="str">
        <f>CONCAT(N54," (",AA54,""")")</f>
        <v>Armoire de cuisine du bas avec 3 tiroirs (21")</v>
      </c>
      <c r="P54" t="str">
        <f>CONCAT("3 tiroirs"," (",AA54,""")")</f>
        <v>3 tiroirs (21")</v>
      </c>
      <c r="Q54" s="1">
        <v>1169</v>
      </c>
      <c r="R54" s="1">
        <f>Q54/11.25</f>
        <v>103.91111111111111</v>
      </c>
      <c r="S54" s="1">
        <f>R54*1.4</f>
        <v>145.47555555555556</v>
      </c>
      <c r="T54" s="1">
        <f>S54*1.1</f>
        <v>160.02311111111112</v>
      </c>
      <c r="U54" s="1">
        <f>T54*1.2</f>
        <v>192.02773333333334</v>
      </c>
      <c r="V54" s="1">
        <f>U54*1.2</f>
        <v>230.43328</v>
      </c>
      <c r="W54" s="1">
        <f>V54*1.1</f>
        <v>253.47660800000003</v>
      </c>
      <c r="X54" s="1">
        <f>W54</f>
        <v>253.47660800000003</v>
      </c>
      <c r="Y54" s="2">
        <v>0.4</v>
      </c>
      <c r="Z54" s="1">
        <f>X54*(1+Y54)</f>
        <v>354.8672512</v>
      </c>
      <c r="AA54">
        <v>21</v>
      </c>
      <c r="AB54">
        <v>34.5</v>
      </c>
      <c r="AC54">
        <v>24</v>
      </c>
      <c r="AD54">
        <v>0</v>
      </c>
      <c r="AE54">
        <v>3</v>
      </c>
      <c r="AF54" t="str">
        <v>Base kitchen cabinet with 3 drawers (21")</v>
      </c>
      <c r="AG54" t="str">
        <v>3 drawers (21")</v>
      </c>
    </row>
    <row r="55" hidden="1">
      <c r="A55" t="str">
        <v>S8-DB21-muf</v>
      </c>
      <c r="E55" t="b">
        <f>IF(OR(B55=TRUE,C55=TRUE,D55=TRUE),FALSE,TRUE)</f>
        <v>1</v>
      </c>
      <c r="G55" t="str">
        <v>DRBC21</v>
      </c>
      <c r="H55" t="str">
        <f>IF(ISNUMBER(SEARCH("muf",A55)),"Chêne blanc","Blanc")</f>
        <v>Chêne blanc</v>
      </c>
      <c r="I55" t="str">
        <f>CONCAT(G55,IF(H55="","",IF(H55="Blanc","-CW","-WWO")))</f>
        <v>DRBC21-WWO</v>
      </c>
      <c r="J55" t="str">
        <f>IFERROR(VLOOKUP(K55,Categories!$A$2:$C$41,2,FALSE()),"⚠ slug introuvable")</f>
        <v>base-cabinet</v>
      </c>
      <c r="K55" t="str">
        <v>base-cabinet-drawer</v>
      </c>
      <c r="L55" t="str">
        <f>IFERROR(VLOOKUP(J55,Categories!$A$2:$C$41,3,FALSE()),"⚠ slug introuvable")</f>
        <v>Armoire du bas</v>
      </c>
      <c r="M55" t="str">
        <f>IFERROR(VLOOKUP(K55,Categories!$A$2:$C$41,3,FALSE()),"⚠ slug introuvable")</f>
        <v>Tiroir</v>
      </c>
      <c r="N55" t="str">
        <v>Armoire de cuisine du bas avec 3 tiroirs</v>
      </c>
      <c r="O55" t="str">
        <f>CONCAT(N55," (",AA55,""")")</f>
        <v>Armoire de cuisine du bas avec 3 tiroirs (21")</v>
      </c>
      <c r="P55" t="str">
        <f>CONCAT("3 tiroirs"," (",AA55,""")")</f>
        <v>3 tiroirs (21")</v>
      </c>
      <c r="Q55" s="1">
        <v>1890</v>
      </c>
      <c r="R55" s="1">
        <f>Q55/11.25</f>
        <v>168</v>
      </c>
      <c r="S55" s="1">
        <f>R55*1.4</f>
        <v>235.2</v>
      </c>
      <c r="T55" s="1">
        <f>S55*1.1</f>
        <v>258.72</v>
      </c>
      <c r="U55" s="1">
        <f>T55*1.2</f>
        <v>310.464</v>
      </c>
      <c r="V55" s="1">
        <f>U55*1.2</f>
        <v>372.5568</v>
      </c>
      <c r="W55" s="1">
        <f>V55*1.1</f>
        <v>409.81248000000005</v>
      </c>
      <c r="X55" s="1">
        <f>W55</f>
        <v>409.81248000000005</v>
      </c>
      <c r="Y55" s="2">
        <v>0.4</v>
      </c>
      <c r="Z55" s="1">
        <f>X55*(1+Y55)</f>
        <v>573.737472</v>
      </c>
      <c r="AA55">
        <v>21</v>
      </c>
      <c r="AB55">
        <v>34.5</v>
      </c>
      <c r="AC55">
        <v>24</v>
      </c>
      <c r="AD55">
        <v>0</v>
      </c>
      <c r="AE55">
        <v>3</v>
      </c>
      <c r="AF55" t="str">
        <v>Base kitchen cabinet with 3 drawers (21")</v>
      </c>
      <c r="AG55" t="str">
        <v>3 drawers (21")</v>
      </c>
    </row>
    <row r="56" hidden="1">
      <c r="A56" t="str">
        <v>S8-DB21-2-muf</v>
      </c>
      <c r="E56" t="b">
        <f>IF(OR(B56=TRUE,C56=TRUE,D56=TRUE),FALSE,TRUE)</f>
        <v>1</v>
      </c>
      <c r="G56" t="str">
        <v>DRBC21-2</v>
      </c>
      <c r="H56" t="str">
        <f>IF(ISNUMBER(SEARCH("muf",A56)),"Chêne blanc","Blanc")</f>
        <v>Chêne blanc</v>
      </c>
      <c r="I56" t="str">
        <f>CONCAT(G56,IF(H56="","",IF(H56="Blanc","-CW","-WWO")))</f>
        <v>DRBC21-2-WWO</v>
      </c>
      <c r="J56" t="str">
        <f>IFERROR(VLOOKUP(K56,Categories!$A$2:$C$41,2,FALSE()),"⚠ slug introuvable")</f>
        <v>base-cabinet</v>
      </c>
      <c r="K56" t="str">
        <v>base-cabinet-drawer</v>
      </c>
      <c r="L56" t="str">
        <f>IFERROR(VLOOKUP(J56,Categories!$A$2:$C$41,3,FALSE()),"⚠ slug introuvable")</f>
        <v>Armoire du bas</v>
      </c>
      <c r="M56" t="str">
        <f>IFERROR(VLOOKUP(K56,Categories!$A$2:$C$41,3,FALSE()),"⚠ slug introuvable")</f>
        <v>Tiroir</v>
      </c>
      <c r="N56" t="str">
        <v>Armoire de cuisine du bas avec 2 tiroirs</v>
      </c>
      <c r="O56" t="str">
        <f>CONCAT(N56," (",AA56,""")")</f>
        <v>Armoire de cuisine du bas avec 2 tiroirs (21")</v>
      </c>
      <c r="P56" t="str">
        <f>CONCAT("2 tiroirs"," (",AA56,""")")</f>
        <v>2 tiroirs (21")</v>
      </c>
      <c r="Q56" s="1">
        <v>1139</v>
      </c>
      <c r="R56" s="1">
        <f>Q56/11.25</f>
        <v>101.24444444444444</v>
      </c>
      <c r="S56" s="1">
        <f>R56*1.4</f>
        <v>141.7422222222222</v>
      </c>
      <c r="T56" s="1">
        <f>S56*1.1</f>
        <v>155.91644444444444</v>
      </c>
      <c r="U56" s="1">
        <f>T56*1.2</f>
        <v>187.09973333333332</v>
      </c>
      <c r="V56" s="1">
        <f>U56*1.2</f>
        <v>224.51967999999997</v>
      </c>
      <c r="W56" s="1">
        <f>V56*1.1</f>
        <v>246.971648</v>
      </c>
      <c r="X56" s="1">
        <f>W56</f>
        <v>246.971648</v>
      </c>
      <c r="Y56" s="2">
        <v>0.4</v>
      </c>
      <c r="Z56" s="1">
        <f>X56*(1+Y56)</f>
        <v>345.76030719999994</v>
      </c>
      <c r="AA56">
        <v>21</v>
      </c>
      <c r="AB56">
        <v>34.5</v>
      </c>
      <c r="AC56">
        <v>24</v>
      </c>
      <c r="AD56">
        <v>0</v>
      </c>
      <c r="AE56">
        <v>2</v>
      </c>
      <c r="AF56" t="str">
        <v>Base kitchen cabinet with 2 drawers (21")</v>
      </c>
      <c r="AG56" t="str">
        <v>2 drawers (21")</v>
      </c>
    </row>
    <row r="57" hidden="1">
      <c r="A57" t="str">
        <v>S8-DB24</v>
      </c>
      <c r="E57" t="b">
        <f>IF(OR(B57=TRUE,C57=TRUE,D57=TRUE),FALSE,TRUE)</f>
        <v>1</v>
      </c>
      <c r="G57" t="str">
        <v>DRBC24</v>
      </c>
      <c r="H57" t="str">
        <f>IF(ISNUMBER(SEARCH("muf",A57)),"Chêne blanc","Blanc")</f>
        <v>Blanc</v>
      </c>
      <c r="I57" t="str">
        <f>CONCAT(G57,IF(H57="","",IF(H57="Blanc","-CW","-WWO")))</f>
        <v>DRBC24-CW</v>
      </c>
      <c r="J57" t="str">
        <f>IFERROR(VLOOKUP(K57,Categories!$A$2:$C$41,2,FALSE()),"⚠ slug introuvable")</f>
        <v>base-cabinet</v>
      </c>
      <c r="K57" t="str">
        <v>base-cabinet-drawer</v>
      </c>
      <c r="L57" t="str">
        <f>IFERROR(VLOOKUP(J57,Categories!$A$2:$C$41,3,FALSE()),"⚠ slug introuvable")</f>
        <v>Armoire du bas</v>
      </c>
      <c r="M57" t="str">
        <f>IFERROR(VLOOKUP(K57,Categories!$A$2:$C$41,3,FALSE()),"⚠ slug introuvable")</f>
        <v>Tiroir</v>
      </c>
      <c r="N57" t="str">
        <v>Armoire de cuisine du bas avec 3 tiroirs</v>
      </c>
      <c r="O57" t="str">
        <f>CONCAT(N57," (",AA57,""")")</f>
        <v>Armoire de cuisine du bas avec 3 tiroirs (24")</v>
      </c>
      <c r="P57" t="str">
        <f>CONCAT("3 tiroirs"," (",AA57,""")")</f>
        <v>3 tiroirs (24")</v>
      </c>
      <c r="Q57" s="1">
        <v>1204</v>
      </c>
      <c r="R57" s="1">
        <f>Q57/11.25</f>
        <v>107.02222222222223</v>
      </c>
      <c r="S57" s="1">
        <f>R57*1.4</f>
        <v>149.8311111111111</v>
      </c>
      <c r="T57" s="1">
        <f>S57*1.1</f>
        <v>164.81422222222224</v>
      </c>
      <c r="U57" s="1">
        <f>T57*1.2</f>
        <v>197.77706666666668</v>
      </c>
      <c r="V57" s="1">
        <f>U57*1.2</f>
        <v>237.33248</v>
      </c>
      <c r="W57" s="1">
        <f>V57*1.1</f>
        <v>261.06572800000004</v>
      </c>
      <c r="X57" s="1">
        <f>W57</f>
        <v>261.06572800000004</v>
      </c>
      <c r="Y57" s="2">
        <v>0.4</v>
      </c>
      <c r="Z57" s="1">
        <f>X57*(1+Y57)</f>
        <v>365.4920192</v>
      </c>
      <c r="AA57">
        <v>24</v>
      </c>
      <c r="AB57">
        <v>34.5</v>
      </c>
      <c r="AC57">
        <v>24</v>
      </c>
      <c r="AD57">
        <v>0</v>
      </c>
      <c r="AE57">
        <v>3</v>
      </c>
      <c r="AF57" t="str">
        <v>Base kitchen cabinet with 3 drawers (24")</v>
      </c>
      <c r="AG57" t="str">
        <v>3 drawers (24")</v>
      </c>
    </row>
    <row r="58" hidden="1">
      <c r="A58" t="str">
        <v>S8-DB24-muf</v>
      </c>
      <c r="E58" t="b">
        <f>IF(OR(B58=TRUE,C58=TRUE,D58=TRUE),FALSE,TRUE)</f>
        <v>1</v>
      </c>
      <c r="G58" t="str">
        <v>DRBC24</v>
      </c>
      <c r="H58" t="str">
        <f>IF(ISNUMBER(SEARCH("muf",A58)),"Chêne blanc","Blanc")</f>
        <v>Chêne blanc</v>
      </c>
      <c r="I58" t="str">
        <f>CONCAT(G58,IF(H58="","",IF(H58="Blanc","-CW","-WWO")))</f>
        <v>DRBC24-WWO</v>
      </c>
      <c r="J58" t="str">
        <f>IFERROR(VLOOKUP(K58,Categories!$A$2:$C$41,2,FALSE()),"⚠ slug introuvable")</f>
        <v>base-cabinet</v>
      </c>
      <c r="K58" t="str">
        <v>base-cabinet-drawer</v>
      </c>
      <c r="L58" t="str">
        <f>IFERROR(VLOOKUP(J58,Categories!$A$2:$C$41,3,FALSE()),"⚠ slug introuvable")</f>
        <v>Armoire du bas</v>
      </c>
      <c r="M58" t="str">
        <f>IFERROR(VLOOKUP(K58,Categories!$A$2:$C$41,3,FALSE()),"⚠ slug introuvable")</f>
        <v>Tiroir</v>
      </c>
      <c r="N58" t="str">
        <v>Armoire de cuisine du bas avec 3 tiroirs</v>
      </c>
      <c r="O58" t="str">
        <f>CONCAT(N58," (",AA58,""")")</f>
        <v>Armoire de cuisine du bas avec 3 tiroirs (24")</v>
      </c>
      <c r="P58" t="str">
        <f>CONCAT("3 tiroirs"," (",AA58,""")")</f>
        <v>3 tiroirs (24")</v>
      </c>
      <c r="Q58" s="1">
        <v>1944.79</v>
      </c>
      <c r="R58" s="1">
        <f>Q58/11.25</f>
        <v>172.87022222222222</v>
      </c>
      <c r="S58" s="1">
        <f>R58*1.4</f>
        <v>242.0183111111111</v>
      </c>
      <c r="T58" s="1">
        <f>S58*1.1</f>
        <v>266.22014222222225</v>
      </c>
      <c r="U58" s="1">
        <f>T58*1.2</f>
        <v>319.4641706666667</v>
      </c>
      <c r="V58" s="1">
        <f>U58*1.2</f>
        <v>383.3570048</v>
      </c>
      <c r="W58" s="1">
        <f>V58*1.1</f>
        <v>421.69270528000004</v>
      </c>
      <c r="X58" s="1">
        <f>W58</f>
        <v>421.69270528000004</v>
      </c>
      <c r="Y58" s="2">
        <v>0.4</v>
      </c>
      <c r="Z58" s="1">
        <f>X58*(1+Y58)</f>
        <v>590.369787392</v>
      </c>
      <c r="AA58">
        <v>24</v>
      </c>
      <c r="AB58">
        <v>34.5</v>
      </c>
      <c r="AC58">
        <v>24</v>
      </c>
      <c r="AD58">
        <v>0</v>
      </c>
      <c r="AE58">
        <v>3</v>
      </c>
      <c r="AF58" t="str">
        <v>Base kitchen cabinet with 3 drawers (24")</v>
      </c>
      <c r="AG58" t="str">
        <v>3 drawers (24")</v>
      </c>
    </row>
    <row r="59" hidden="1">
      <c r="A59" t="str">
        <v>S8-DB24-2-muf</v>
      </c>
      <c r="E59" t="b">
        <f>IF(OR(B59=TRUE,C59=TRUE,D59=TRUE),FALSE,TRUE)</f>
        <v>1</v>
      </c>
      <c r="G59" t="str">
        <v>DRBC24-2</v>
      </c>
      <c r="H59" t="str">
        <f>IF(ISNUMBER(SEARCH("muf",A59)),"Chêne blanc","Blanc")</f>
        <v>Chêne blanc</v>
      </c>
      <c r="I59" t="str">
        <f>CONCAT(G59,IF(H59="","",IF(H59="Blanc","-CW","-WWO")))</f>
        <v>DRBC24-2-WWO</v>
      </c>
      <c r="J59" t="str">
        <f>IFERROR(VLOOKUP(K59,Categories!$A$2:$C$41,2,FALSE()),"⚠ slug introuvable")</f>
        <v>base-cabinet</v>
      </c>
      <c r="K59" t="str">
        <v>base-cabinet-drawer</v>
      </c>
      <c r="L59" t="str">
        <f>IFERROR(VLOOKUP(J59,Categories!$A$2:$C$41,3,FALSE()),"⚠ slug introuvable")</f>
        <v>Armoire du bas</v>
      </c>
      <c r="M59" t="str">
        <f>IFERROR(VLOOKUP(K59,Categories!$A$2:$C$41,3,FALSE()),"⚠ slug introuvable")</f>
        <v>Tiroir</v>
      </c>
      <c r="N59" t="str">
        <v>Armoire de cuisine du bas avec 2 tiroirs</v>
      </c>
      <c r="O59" t="str">
        <f>CONCAT(N59," (",AA59,""")")</f>
        <v>Armoire de cuisine du bas avec 2 tiroirs (24")</v>
      </c>
      <c r="P59" t="str">
        <f>CONCAT("2 tiroirs"," (",AA59,""")")</f>
        <v>2 tiroirs (24")</v>
      </c>
      <c r="Q59" s="1">
        <v>1239</v>
      </c>
      <c r="R59" s="1">
        <f>Q59/11.25</f>
        <v>110.13333333333334</v>
      </c>
      <c r="S59" s="1">
        <f>R59*1.4</f>
        <v>154.18666666666667</v>
      </c>
      <c r="T59" s="1">
        <f>S59*1.1</f>
        <v>169.60533333333333</v>
      </c>
      <c r="U59" s="1">
        <f>T59*1.2</f>
        <v>203.5264</v>
      </c>
      <c r="V59" s="1">
        <f>U59*1.2</f>
        <v>244.23167999999998</v>
      </c>
      <c r="W59" s="1">
        <f>V59*1.1</f>
        <v>268.654848</v>
      </c>
      <c r="X59" s="1">
        <f>W59</f>
        <v>268.654848</v>
      </c>
      <c r="Y59" s="2">
        <v>0.4</v>
      </c>
      <c r="Z59" s="1">
        <f>X59*(1+Y59)</f>
        <v>376.1167872</v>
      </c>
      <c r="AA59">
        <v>24</v>
      </c>
      <c r="AB59">
        <v>34.5</v>
      </c>
      <c r="AC59">
        <v>24</v>
      </c>
      <c r="AD59">
        <v>0</v>
      </c>
      <c r="AE59">
        <v>2</v>
      </c>
      <c r="AF59" t="str">
        <v>Base kitchen cabinet with 2 drawers (24")</v>
      </c>
      <c r="AG59" t="str">
        <v>2 drawers (24")</v>
      </c>
    </row>
    <row r="60" hidden="1">
      <c r="A60" t="str">
        <v>S8-DB27</v>
      </c>
      <c r="E60" t="b">
        <f>IF(OR(B60=TRUE,C60=TRUE,D60=TRUE),FALSE,TRUE)</f>
        <v>1</v>
      </c>
      <c r="G60" t="str">
        <v>DRBC27</v>
      </c>
      <c r="H60" t="str">
        <f>IF(ISNUMBER(SEARCH("muf",A60)),"Chêne blanc","Blanc")</f>
        <v>Blanc</v>
      </c>
      <c r="I60" t="str">
        <f>CONCAT(G60,IF(H60="","",IF(H60="Blanc","-CW","-WWO")))</f>
        <v>DRBC27-CW</v>
      </c>
      <c r="J60" t="str">
        <f>IFERROR(VLOOKUP(K60,Categories!$A$2:$C$41,2,FALSE()),"⚠ slug introuvable")</f>
        <v>base-cabinet</v>
      </c>
      <c r="K60" t="str">
        <v>base-cabinet-drawer</v>
      </c>
      <c r="L60" t="str">
        <f>IFERROR(VLOOKUP(J60,Categories!$A$2:$C$41,3,FALSE()),"⚠ slug introuvable")</f>
        <v>Armoire du bas</v>
      </c>
      <c r="M60" t="str">
        <f>IFERROR(VLOOKUP(K60,Categories!$A$2:$C$41,3,FALSE()),"⚠ slug introuvable")</f>
        <v>Tiroir</v>
      </c>
      <c r="N60" t="str">
        <v>Armoire de cuisine du bas avec 3 tiroirs</v>
      </c>
      <c r="O60" t="str">
        <f>CONCAT(N60," (",AA60,""")")</f>
        <v>Armoire de cuisine du bas avec 3 tiroirs (27")</v>
      </c>
      <c r="P60" t="str">
        <f>CONCAT("3 tiroirs"," (",AA60,""")")</f>
        <v>3 tiroirs (27")</v>
      </c>
      <c r="Q60" s="1">
        <v>1269</v>
      </c>
      <c r="R60" s="1">
        <f>Q60/11.25</f>
        <v>112.8</v>
      </c>
      <c r="S60" s="1">
        <f>R60*1.4</f>
        <v>157.92</v>
      </c>
      <c r="T60" s="1">
        <f>S60*1.1</f>
        <v>173.712</v>
      </c>
      <c r="U60" s="1">
        <f>T60*1.2</f>
        <v>208.4544</v>
      </c>
      <c r="V60" s="1">
        <f>U60*1.2</f>
        <v>250.14527999999999</v>
      </c>
      <c r="W60" s="1">
        <f>V60*1.1</f>
        <v>275.159808</v>
      </c>
      <c r="X60" s="1">
        <f>W60</f>
        <v>275.159808</v>
      </c>
      <c r="Y60" s="2">
        <v>0.4</v>
      </c>
      <c r="Z60" s="1">
        <f>X60*(1+Y60)</f>
        <v>385.2237312</v>
      </c>
      <c r="AA60">
        <v>27</v>
      </c>
      <c r="AB60">
        <v>34.5</v>
      </c>
      <c r="AC60">
        <v>24</v>
      </c>
      <c r="AD60">
        <v>0</v>
      </c>
      <c r="AE60">
        <v>3</v>
      </c>
      <c r="AF60" t="str">
        <v>Base kitchen cabinet with 3 drawers (27")</v>
      </c>
      <c r="AG60" t="str">
        <v>3 drawers (27")</v>
      </c>
    </row>
    <row r="61" hidden="1">
      <c r="A61" t="str">
        <v>S8-DB27-2</v>
      </c>
      <c r="E61" t="b">
        <f>IF(OR(B61=TRUE,C61=TRUE,D61=TRUE),FALSE,TRUE)</f>
        <v>1</v>
      </c>
      <c r="G61" t="str">
        <v>DRBC27-2</v>
      </c>
      <c r="H61" t="str">
        <f>IF(ISNUMBER(SEARCH("muf",A61)),"Chêne blanc","Blanc")</f>
        <v>Blanc</v>
      </c>
      <c r="I61" t="str">
        <f>CONCAT(G61,IF(H61="","",IF(H61="Blanc","-CW","-WWO")))</f>
        <v>DRBC27-2-CW</v>
      </c>
      <c r="J61" t="str">
        <f>IFERROR(VLOOKUP(K61,Categories!$A$2:$C$41,2,FALSE()),"⚠ slug introuvable")</f>
        <v>base-cabinet</v>
      </c>
      <c r="K61" t="str">
        <v>base-cabinet-drawer</v>
      </c>
      <c r="L61" t="str">
        <f>IFERROR(VLOOKUP(J61,Categories!$A$2:$C$41,3,FALSE()),"⚠ slug introuvable")</f>
        <v>Armoire du bas</v>
      </c>
      <c r="M61" t="str">
        <f>IFERROR(VLOOKUP(K61,Categories!$A$2:$C$41,3,FALSE()),"⚠ slug introuvable")</f>
        <v>Tiroir</v>
      </c>
      <c r="N61" t="str">
        <v>Armoire de cuisine du bas avec 2 tiroirs</v>
      </c>
      <c r="O61" t="str">
        <f>CONCAT(N61," (",AA61,""")")</f>
        <v>Armoire de cuisine du bas avec 2 tiroirs (27")</v>
      </c>
      <c r="P61" t="str">
        <f>CONCAT("2 tiroirs"," (",AA61,""")")</f>
        <v>2 tiroirs (27")</v>
      </c>
      <c r="Q61" s="1">
        <v>1003</v>
      </c>
      <c r="R61" s="1">
        <f>Q61/11.25</f>
        <v>89.15555555555555</v>
      </c>
      <c r="S61" s="1">
        <f>R61*1.4</f>
        <v>124.81777777777776</v>
      </c>
      <c r="T61" s="1">
        <f>S61*1.1</f>
        <v>137.29955555555554</v>
      </c>
      <c r="U61" s="1">
        <f>T61*1.2</f>
        <v>164.75946666666664</v>
      </c>
      <c r="V61" s="1">
        <f>U61*1.2</f>
        <v>197.71135999999996</v>
      </c>
      <c r="W61" s="1">
        <f>V61*1.1</f>
        <v>217.48249599999997</v>
      </c>
      <c r="X61" s="1">
        <f>W61</f>
        <v>217.48249599999997</v>
      </c>
      <c r="Y61" s="2">
        <v>0.4</v>
      </c>
      <c r="Z61" s="1">
        <f>X61*(1+Y61)</f>
        <v>304.47549439999995</v>
      </c>
      <c r="AA61">
        <v>27</v>
      </c>
      <c r="AB61">
        <v>34.5</v>
      </c>
      <c r="AC61">
        <v>24</v>
      </c>
      <c r="AD61">
        <v>0</v>
      </c>
      <c r="AE61">
        <v>2</v>
      </c>
      <c r="AF61" t="str">
        <v>Base kitchen cabinet with 2 drawers (27")</v>
      </c>
      <c r="AG61" t="str">
        <v>2 drawers (27")</v>
      </c>
    </row>
    <row r="62" hidden="1">
      <c r="A62" t="str">
        <v>S8-DB27-2-muf</v>
      </c>
      <c r="E62" t="b">
        <f>IF(OR(B62=TRUE,C62=TRUE,D62=TRUE),FALSE,TRUE)</f>
        <v>1</v>
      </c>
      <c r="G62" t="str">
        <v>DRBC27-2</v>
      </c>
      <c r="H62" t="str">
        <f>IF(ISNUMBER(SEARCH("muf",A62)),"Chêne blanc","Blanc")</f>
        <v>Chêne blanc</v>
      </c>
      <c r="I62" t="str">
        <f>CONCAT(G62,IF(H62="","",IF(H62="Blanc","-CW","-WWO")))</f>
        <v>DRBC27-2-WWO</v>
      </c>
      <c r="J62" t="str">
        <f>IFERROR(VLOOKUP(K62,Categories!$A$2:$C$41,2,FALSE()),"⚠ slug introuvable")</f>
        <v>base-cabinet</v>
      </c>
      <c r="K62" t="str">
        <v>base-cabinet-drawer</v>
      </c>
      <c r="L62" t="str">
        <f>IFERROR(VLOOKUP(J62,Categories!$A$2:$C$41,3,FALSE()),"⚠ slug introuvable")</f>
        <v>Armoire du bas</v>
      </c>
      <c r="M62" t="str">
        <f>IFERROR(VLOOKUP(K62,Categories!$A$2:$C$41,3,FALSE()),"⚠ slug introuvable")</f>
        <v>Tiroir</v>
      </c>
      <c r="N62" t="str">
        <v>Armoire de cuisine du bas avec 2 tiroirs</v>
      </c>
      <c r="O62" t="str">
        <f>CONCAT(N62," (",AA62,""")")</f>
        <v>Armoire de cuisine du bas avec 2 tiroirs (27")</v>
      </c>
      <c r="P62" t="str">
        <f>CONCAT("2 tiroirs"," (",AA62,""")")</f>
        <v>2 tiroirs (27")</v>
      </c>
      <c r="Q62" s="1">
        <v>1328</v>
      </c>
      <c r="R62" s="1">
        <f>Q62/11.25</f>
        <v>118.04444444444445</v>
      </c>
      <c r="S62" s="1">
        <f>R62*1.4</f>
        <v>165.26222222222222</v>
      </c>
      <c r="T62" s="1">
        <f>S62*1.1</f>
        <v>181.78844444444445</v>
      </c>
      <c r="U62" s="1">
        <f>T62*1.2</f>
        <v>218.14613333333332</v>
      </c>
      <c r="V62" s="1">
        <f>U62*1.2</f>
        <v>261.77536</v>
      </c>
      <c r="W62" s="1">
        <f>V62*1.1</f>
        <v>287.952896</v>
      </c>
      <c r="X62" s="1">
        <f>W62</f>
        <v>287.952896</v>
      </c>
      <c r="Y62" s="2">
        <v>0.4</v>
      </c>
      <c r="Z62" s="1">
        <f>X62*(1+Y62)</f>
        <v>403.13405439999997</v>
      </c>
      <c r="AA62">
        <v>27</v>
      </c>
      <c r="AB62">
        <v>34.5</v>
      </c>
      <c r="AC62">
        <v>24</v>
      </c>
      <c r="AD62">
        <v>0</v>
      </c>
      <c r="AE62">
        <v>2</v>
      </c>
      <c r="AF62" t="str">
        <v>Base kitchen cabinet with 2 drawers (27")</v>
      </c>
      <c r="AG62" t="str">
        <v>2 drawers (27")</v>
      </c>
    </row>
    <row r="63" hidden="1">
      <c r="A63" t="str">
        <v>S8-DB27-muf</v>
      </c>
      <c r="E63" t="b">
        <f>IF(OR(B63=TRUE,C63=TRUE,D63=TRUE),FALSE,TRUE)</f>
        <v>1</v>
      </c>
      <c r="G63" t="str">
        <v>DRBC27</v>
      </c>
      <c r="H63" t="str">
        <f>IF(ISNUMBER(SEARCH("muf",A63)),"Chêne blanc","Blanc")</f>
        <v>Chêne blanc</v>
      </c>
      <c r="I63" t="str">
        <f>CONCAT(G63,IF(H63="","",IF(H63="Blanc","-CW","-WWO")))</f>
        <v>DRBC27-WWO</v>
      </c>
      <c r="J63" t="str">
        <f>IFERROR(VLOOKUP(K63,Categories!$A$2:$C$41,2,FALSE()),"⚠ slug introuvable")</f>
        <v>base-cabinet</v>
      </c>
      <c r="K63" t="str">
        <v>base-cabinet-drawer</v>
      </c>
      <c r="L63" t="str">
        <f>IFERROR(VLOOKUP(J63,Categories!$A$2:$C$41,3,FALSE()),"⚠ slug introuvable")</f>
        <v>Armoire du bas</v>
      </c>
      <c r="M63" t="str">
        <f>IFERROR(VLOOKUP(K63,Categories!$A$2:$C$41,3,FALSE()),"⚠ slug introuvable")</f>
        <v>Tiroir</v>
      </c>
      <c r="N63" t="str">
        <v>Armoire de cuisine du bas avec 3 tiroirs</v>
      </c>
      <c r="O63" t="str">
        <f>CONCAT(N63," (",AA63,""")")</f>
        <v>Armoire de cuisine du bas avec 3 tiroirs (27")</v>
      </c>
      <c r="P63" t="str">
        <f>CONCAT("3 tiroirs"," (",AA63,""")")</f>
        <v>3 tiroirs (27")</v>
      </c>
      <c r="Q63" s="1">
        <v>2055.71</v>
      </c>
      <c r="R63" s="1">
        <f>Q63/11.25</f>
        <v>182.72977777777777</v>
      </c>
      <c r="S63" s="1">
        <f>R63*1.4</f>
        <v>255.82168888888887</v>
      </c>
      <c r="T63" s="1">
        <f>S63*1.1</f>
        <v>281.4038577777778</v>
      </c>
      <c r="U63" s="1">
        <f>T63*1.2</f>
        <v>337.6846293333333</v>
      </c>
      <c r="V63" s="1">
        <f>U63*1.2</f>
        <v>405.22155519999995</v>
      </c>
      <c r="W63" s="1">
        <f>V63*1.1</f>
        <v>445.74371071999997</v>
      </c>
      <c r="X63" s="1">
        <f>W63</f>
        <v>445.74371071999997</v>
      </c>
      <c r="Y63" s="2">
        <v>0.4</v>
      </c>
      <c r="Z63" s="1">
        <f>X63*(1+Y63)</f>
        <v>624.0411950079999</v>
      </c>
      <c r="AA63">
        <v>27</v>
      </c>
      <c r="AB63">
        <v>34.5</v>
      </c>
      <c r="AC63">
        <v>24</v>
      </c>
      <c r="AD63">
        <v>0</v>
      </c>
      <c r="AE63">
        <v>3</v>
      </c>
      <c r="AF63" t="str">
        <v>Base kitchen cabinet with 3 drawers (27")</v>
      </c>
      <c r="AG63" t="str">
        <v>3 drawers (27")</v>
      </c>
    </row>
    <row r="64" hidden="1">
      <c r="A64" t="str">
        <v>S8-DB30</v>
      </c>
      <c r="E64" t="b">
        <f>IF(OR(B64=TRUE,C64=TRUE,D64=TRUE),FALSE,TRUE)</f>
        <v>1</v>
      </c>
      <c r="G64" t="str">
        <v>DRBC30</v>
      </c>
      <c r="H64" t="str">
        <f>IF(ISNUMBER(SEARCH("muf",A64)),"Chêne blanc","Blanc")</f>
        <v>Blanc</v>
      </c>
      <c r="I64" t="str">
        <f>CONCAT(G64,IF(H64="","",IF(H64="Blanc","-CW","-WWO")))</f>
        <v>DRBC30-CW</v>
      </c>
      <c r="J64" t="str">
        <f>IFERROR(VLOOKUP(K64,Categories!$A$2:$C$41,2,FALSE()),"⚠ slug introuvable")</f>
        <v>base-cabinet</v>
      </c>
      <c r="K64" t="str">
        <v>base-cabinet-drawer</v>
      </c>
      <c r="L64" t="str">
        <f>IFERROR(VLOOKUP(J64,Categories!$A$2:$C$41,3,FALSE()),"⚠ slug introuvable")</f>
        <v>Armoire du bas</v>
      </c>
      <c r="M64" t="str">
        <f>IFERROR(VLOOKUP(K64,Categories!$A$2:$C$41,3,FALSE()),"⚠ slug introuvable")</f>
        <v>Tiroir</v>
      </c>
      <c r="N64" t="str">
        <v>Armoire de cuisine du bas avec 3 tiroirs</v>
      </c>
      <c r="O64" t="str">
        <f>CONCAT(N64," (",AA64,""")")</f>
        <v>Armoire de cuisine du bas avec 3 tiroirs (30")</v>
      </c>
      <c r="P64" t="str">
        <f>CONCAT("3 tiroirs"," (",AA64,""")")</f>
        <v>3 tiroirs (30")</v>
      </c>
      <c r="Q64" s="1">
        <v>1332</v>
      </c>
      <c r="R64" s="1">
        <f>Q64/11.25</f>
        <v>118.4</v>
      </c>
      <c r="S64" s="1">
        <f>R64*1.4</f>
        <v>165.76</v>
      </c>
      <c r="T64" s="1">
        <f>S64*1.1</f>
        <v>182.336</v>
      </c>
      <c r="U64" s="1">
        <f>T64*1.2</f>
        <v>218.8032</v>
      </c>
      <c r="V64" s="1">
        <f>U64*1.2</f>
        <v>262.56383999999997</v>
      </c>
      <c r="W64" s="1">
        <f>V64*1.1</f>
        <v>288.820224</v>
      </c>
      <c r="X64" s="1">
        <f>W64</f>
        <v>288.820224</v>
      </c>
      <c r="Y64" s="2">
        <v>0.4</v>
      </c>
      <c r="Z64" s="1">
        <f>X64*(1+Y64)</f>
        <v>404.3483136</v>
      </c>
      <c r="AA64">
        <v>30</v>
      </c>
      <c r="AB64">
        <v>34.5</v>
      </c>
      <c r="AC64">
        <v>24</v>
      </c>
      <c r="AD64">
        <v>0</v>
      </c>
      <c r="AE64">
        <v>3</v>
      </c>
      <c r="AF64" t="str">
        <v>Base kitchen cabinet with 3 drawers (30")</v>
      </c>
      <c r="AG64" t="str">
        <v>3 drawers (30")</v>
      </c>
    </row>
    <row r="65" hidden="1">
      <c r="A65" t="str">
        <v>S8-DB30-2</v>
      </c>
      <c r="E65" t="b">
        <f>IF(OR(B65=TRUE,C65=TRUE,D65=TRUE),FALSE,TRUE)</f>
        <v>1</v>
      </c>
      <c r="G65" t="str">
        <v>DRBC30-2</v>
      </c>
      <c r="H65" t="str">
        <f>IF(ISNUMBER(SEARCH("muf",A65)),"Chêne blanc","Blanc")</f>
        <v>Blanc</v>
      </c>
      <c r="I65" t="str">
        <f>CONCAT(G65,IF(H65="","",IF(H65="Blanc","-CW","-WWO")))</f>
        <v>DRBC30-2-CW</v>
      </c>
      <c r="J65" t="str">
        <f>IFERROR(VLOOKUP(K65,Categories!$A$2:$C$41,2,FALSE()),"⚠ slug introuvable")</f>
        <v>base-cabinet</v>
      </c>
      <c r="K65" t="str">
        <v>base-cabinet-drawer</v>
      </c>
      <c r="L65" t="str">
        <f>IFERROR(VLOOKUP(J65,Categories!$A$2:$C$41,3,FALSE()),"⚠ slug introuvable")</f>
        <v>Armoire du bas</v>
      </c>
      <c r="M65" t="str">
        <f>IFERROR(VLOOKUP(K65,Categories!$A$2:$C$41,3,FALSE()),"⚠ slug introuvable")</f>
        <v>Tiroir</v>
      </c>
      <c r="N65" t="str">
        <v>Armoire de cuisine du bas avec 2 tiroirs</v>
      </c>
      <c r="O65" t="str">
        <f>CONCAT(N65," (",AA65,""")")</f>
        <v>Armoire de cuisine du bas avec 2 tiroirs (30")</v>
      </c>
      <c r="P65" t="str">
        <f>CONCAT("2 tiroirs"," (",AA65,""")")</f>
        <v>2 tiroirs (30")</v>
      </c>
      <c r="Q65" s="1">
        <v>1082</v>
      </c>
      <c r="R65" s="1">
        <f>Q65/11.25</f>
        <v>96.17777777777778</v>
      </c>
      <c r="S65" s="1">
        <f>R65*1.4</f>
        <v>134.64888888888888</v>
      </c>
      <c r="T65" s="1">
        <f>S65*1.1</f>
        <v>148.11377777777778</v>
      </c>
      <c r="U65" s="1">
        <f>T65*1.2</f>
        <v>177.73653333333334</v>
      </c>
      <c r="V65" s="1">
        <f>U65*1.2</f>
        <v>213.28384</v>
      </c>
      <c r="W65" s="1">
        <f>V65*1.1</f>
        <v>234.61222400000003</v>
      </c>
      <c r="X65" s="1">
        <f>W65</f>
        <v>234.61222400000003</v>
      </c>
      <c r="Y65" s="2">
        <v>0.4</v>
      </c>
      <c r="Z65" s="1">
        <f>X65*(1+Y65)</f>
        <v>328.4571136</v>
      </c>
      <c r="AA65">
        <v>30</v>
      </c>
      <c r="AB65">
        <v>34.5</v>
      </c>
      <c r="AC65">
        <v>24</v>
      </c>
      <c r="AD65">
        <v>0</v>
      </c>
      <c r="AE65">
        <v>2</v>
      </c>
      <c r="AF65" t="str">
        <v>Base kitchen cabinet with 2 drawers (30")</v>
      </c>
      <c r="AG65" t="str">
        <v>2 drawers (30")</v>
      </c>
    </row>
    <row r="66" hidden="1">
      <c r="A66" t="str">
        <v>S8-DB30-2-muf</v>
      </c>
      <c r="E66" t="b">
        <f>IF(OR(B66=TRUE,C66=TRUE,D66=TRUE),FALSE,TRUE)</f>
        <v>1</v>
      </c>
      <c r="G66" t="str">
        <v>DRBC30-2</v>
      </c>
      <c r="H66" t="str">
        <f>IF(ISNUMBER(SEARCH("muf",A66)),"Chêne blanc","Blanc")</f>
        <v>Chêne blanc</v>
      </c>
      <c r="I66" t="str">
        <f>CONCAT(G66,IF(H66="","",IF(H66="Blanc","-CW","-WWO")))</f>
        <v>DRBC30-2-WWO</v>
      </c>
      <c r="J66" t="str">
        <f>IFERROR(VLOOKUP(K66,Categories!$A$2:$C$41,2,FALSE()),"⚠ slug introuvable")</f>
        <v>base-cabinet</v>
      </c>
      <c r="K66" t="str">
        <v>base-cabinet-drawer</v>
      </c>
      <c r="L66" t="str">
        <f>IFERROR(VLOOKUP(J66,Categories!$A$2:$C$41,3,FALSE()),"⚠ slug introuvable")</f>
        <v>Armoire du bas</v>
      </c>
      <c r="M66" t="str">
        <f>IFERROR(VLOOKUP(K66,Categories!$A$2:$C$41,3,FALSE()),"⚠ slug introuvable")</f>
        <v>Tiroir</v>
      </c>
      <c r="N66" t="str">
        <v>Armoire de cuisine du bas avec 2 tiroirs</v>
      </c>
      <c r="O66" t="str">
        <f>CONCAT(N66," (",AA66,""")")</f>
        <v>Armoire de cuisine du bas avec 2 tiroirs (30")</v>
      </c>
      <c r="P66" t="str">
        <f>CONCAT("2 tiroirs"," (",AA66,""")")</f>
        <v>2 tiroirs (30")</v>
      </c>
      <c r="Q66" s="1">
        <v>1419</v>
      </c>
      <c r="R66" s="1">
        <f>Q66/11.25</f>
        <v>126.13333333333334</v>
      </c>
      <c r="S66" s="1">
        <f>R66*1.4</f>
        <v>176.58666666666667</v>
      </c>
      <c r="T66" s="1">
        <f>S66*1.1</f>
        <v>194.24533333333335</v>
      </c>
      <c r="U66" s="1">
        <f>T66*1.2</f>
        <v>233.0944</v>
      </c>
      <c r="V66" s="1">
        <f>U66*1.2</f>
        <v>279.71328</v>
      </c>
      <c r="W66" s="1">
        <f>V66*1.1</f>
        <v>307.684608</v>
      </c>
      <c r="X66" s="1">
        <f>W66</f>
        <v>307.684608</v>
      </c>
      <c r="Y66" s="2">
        <v>0.4</v>
      </c>
      <c r="Z66" s="1">
        <f>X66*(1+Y66)</f>
        <v>430.7584512</v>
      </c>
      <c r="AA66">
        <v>30</v>
      </c>
      <c r="AB66">
        <v>34.5</v>
      </c>
      <c r="AC66">
        <v>24</v>
      </c>
      <c r="AD66">
        <v>0</v>
      </c>
      <c r="AE66">
        <v>2</v>
      </c>
      <c r="AF66" t="str">
        <v>Base kitchen cabinet with 2 drawers (30")</v>
      </c>
      <c r="AG66" t="str">
        <v>2 drawers (30")</v>
      </c>
    </row>
    <row r="67" hidden="1">
      <c r="A67" t="str">
        <v>S8-DB30-muf</v>
      </c>
      <c r="E67" t="b">
        <f>IF(OR(B67=TRUE,C67=TRUE,D67=TRUE),FALSE,TRUE)</f>
        <v>1</v>
      </c>
      <c r="G67" t="str">
        <v>DRBC30</v>
      </c>
      <c r="H67" t="str">
        <f>IF(ISNUMBER(SEARCH("muf",A67)),"Chêne blanc","Blanc")</f>
        <v>Chêne blanc</v>
      </c>
      <c r="I67" t="str">
        <f>CONCAT(G67,IF(H67="","",IF(H67="Blanc","-CW","-WWO")))</f>
        <v>DRBC30-WWO</v>
      </c>
      <c r="J67" t="str">
        <f>IFERROR(VLOOKUP(K67,Categories!$A$2:$C$41,2,FALSE()),"⚠ slug introuvable")</f>
        <v>base-cabinet</v>
      </c>
      <c r="K67" t="str">
        <v>base-cabinet-drawer</v>
      </c>
      <c r="L67" t="str">
        <f>IFERROR(VLOOKUP(J67,Categories!$A$2:$C$41,3,FALSE()),"⚠ slug introuvable")</f>
        <v>Armoire du bas</v>
      </c>
      <c r="M67" t="str">
        <f>IFERROR(VLOOKUP(K67,Categories!$A$2:$C$41,3,FALSE()),"⚠ slug introuvable")</f>
        <v>Tiroir</v>
      </c>
      <c r="N67" t="str">
        <v>Armoire de cuisine du bas avec 3 tiroirs</v>
      </c>
      <c r="O67" t="str">
        <f>CONCAT(N67," (",AA67,""")")</f>
        <v>Armoire de cuisine du bas avec 3 tiroirs (30")</v>
      </c>
      <c r="P67" t="str">
        <f>CONCAT("3 tiroirs"," (",AA67,""")")</f>
        <v>3 tiroirs (30")</v>
      </c>
      <c r="Q67" s="1">
        <v>2151.23</v>
      </c>
      <c r="R67" s="1">
        <f>Q67/11.25</f>
        <v>191.22044444444444</v>
      </c>
      <c r="S67" s="1">
        <f>R67*1.4</f>
        <v>267.7086222222222</v>
      </c>
      <c r="T67" s="1">
        <f>S67*1.1</f>
        <v>294.47948444444444</v>
      </c>
      <c r="U67" s="1">
        <f>T67*1.2</f>
        <v>353.37538133333334</v>
      </c>
      <c r="V67" s="1">
        <f>U67*1.2</f>
        <v>424.0504576</v>
      </c>
      <c r="W67" s="1">
        <f>V67*1.1</f>
        <v>466.4555033600001</v>
      </c>
      <c r="X67" s="1">
        <f>W67</f>
        <v>466.4555033600001</v>
      </c>
      <c r="Y67" s="2">
        <v>0.4</v>
      </c>
      <c r="Z67" s="1">
        <f>X67*(1+Y67)</f>
        <v>653.037704704</v>
      </c>
      <c r="AA67">
        <v>30</v>
      </c>
      <c r="AB67">
        <v>34.5</v>
      </c>
      <c r="AC67">
        <v>24</v>
      </c>
      <c r="AD67">
        <v>0</v>
      </c>
      <c r="AE67">
        <v>3</v>
      </c>
      <c r="AF67" t="str">
        <v>Base kitchen cabinet with 3 drawers (30")</v>
      </c>
      <c r="AG67" t="str">
        <v>3 drawers (30")</v>
      </c>
    </row>
    <row r="68" hidden="1">
      <c r="A68" t="str">
        <v>S8-DB33</v>
      </c>
      <c r="E68" t="b">
        <f>IF(OR(B68=TRUE,C68=TRUE,D68=TRUE),FALSE,TRUE)</f>
        <v>1</v>
      </c>
      <c r="G68" t="str">
        <v>DRBC33</v>
      </c>
      <c r="H68" t="str">
        <f>IF(ISNUMBER(SEARCH("muf",A68)),"Chêne blanc","Blanc")</f>
        <v>Blanc</v>
      </c>
      <c r="I68" t="str">
        <f>CONCAT(G68,IF(H68="","",IF(H68="Blanc","-CW","-WWO")))</f>
        <v>DRBC33-CW</v>
      </c>
      <c r="J68" t="str">
        <f>IFERROR(VLOOKUP(K68,Categories!$A$2:$C$41,2,FALSE()),"⚠ slug introuvable")</f>
        <v>base-cabinet</v>
      </c>
      <c r="K68" t="str">
        <v>base-cabinet-drawer</v>
      </c>
      <c r="L68" t="str">
        <f>IFERROR(VLOOKUP(J68,Categories!$A$2:$C$41,3,FALSE()),"⚠ slug introuvable")</f>
        <v>Armoire du bas</v>
      </c>
      <c r="M68" t="str">
        <f>IFERROR(VLOOKUP(K68,Categories!$A$2:$C$41,3,FALSE()),"⚠ slug introuvable")</f>
        <v>Tiroir</v>
      </c>
      <c r="N68" t="str">
        <v>Armoire de cuisine du bas avec 3 tiroirs</v>
      </c>
      <c r="O68" t="str">
        <f>CONCAT(N68," (",AA68,""")")</f>
        <v>Armoire de cuisine du bas avec 3 tiroirs (33")</v>
      </c>
      <c r="P68" t="str">
        <f>CONCAT("3 tiroirs"," (",AA68,""")")</f>
        <v>3 tiroirs (33")</v>
      </c>
      <c r="Q68" s="1">
        <v>1386</v>
      </c>
      <c r="R68" s="1">
        <f>Q68/11.25</f>
        <v>123.2</v>
      </c>
      <c r="S68" s="1">
        <f>R68*1.4</f>
        <v>172.48</v>
      </c>
      <c r="T68" s="1">
        <f>S68*1.1</f>
        <v>189.728</v>
      </c>
      <c r="U68" s="1">
        <f>T68*1.2</f>
        <v>227.6736</v>
      </c>
      <c r="V68" s="1">
        <f>U68*1.2</f>
        <v>273.20831999999996</v>
      </c>
      <c r="W68" s="1">
        <f>V68*1.1</f>
        <v>300.52915199999995</v>
      </c>
      <c r="X68" s="1">
        <f>W68</f>
        <v>300.52915199999995</v>
      </c>
      <c r="Y68" s="2">
        <v>0.4</v>
      </c>
      <c r="Z68" s="1">
        <f>X68*(1+Y68)</f>
        <v>420.7408127999999</v>
      </c>
      <c r="AA68">
        <v>33</v>
      </c>
      <c r="AB68">
        <v>34.5</v>
      </c>
      <c r="AC68">
        <v>24</v>
      </c>
      <c r="AD68">
        <v>0</v>
      </c>
      <c r="AE68">
        <v>3</v>
      </c>
      <c r="AF68" t="str">
        <v>Base kitchen cabinet with 3 drawers (33")</v>
      </c>
      <c r="AG68" t="str">
        <v>3 drawers (33")</v>
      </c>
    </row>
    <row r="69" hidden="1">
      <c r="A69" t="str">
        <v>S8-DB33-muf</v>
      </c>
      <c r="E69" t="b">
        <f>IF(OR(B69=TRUE,C69=TRUE,D69=TRUE),FALSE,TRUE)</f>
        <v>1</v>
      </c>
      <c r="G69" t="str">
        <v>DRBC33</v>
      </c>
      <c r="H69" t="str">
        <f>IF(ISNUMBER(SEARCH("muf",A69)),"Chêne blanc","Blanc")</f>
        <v>Chêne blanc</v>
      </c>
      <c r="I69" t="str">
        <f>CONCAT(G69,IF(H69="","",IF(H69="Blanc","-CW","-WWO")))</f>
        <v>DRBC33-WWO</v>
      </c>
      <c r="J69" t="str">
        <f>IFERROR(VLOOKUP(K69,Categories!$A$2:$C$41,2,FALSE()),"⚠ slug introuvable")</f>
        <v>base-cabinet</v>
      </c>
      <c r="K69" t="str">
        <v>base-cabinet-drawer</v>
      </c>
      <c r="L69" t="str">
        <f>IFERROR(VLOOKUP(J69,Categories!$A$2:$C$41,3,FALSE()),"⚠ slug introuvable")</f>
        <v>Armoire du bas</v>
      </c>
      <c r="M69" t="str">
        <f>IFERROR(VLOOKUP(K69,Categories!$A$2:$C$41,3,FALSE()),"⚠ slug introuvable")</f>
        <v>Tiroir</v>
      </c>
      <c r="N69" t="str">
        <v>Armoire de cuisine du bas avec 3 tiroirs</v>
      </c>
      <c r="O69" t="str">
        <f>CONCAT(N69," (",AA69,""")")</f>
        <v>Armoire de cuisine du bas avec 3 tiroirs (33")</v>
      </c>
      <c r="P69" t="str">
        <f>CONCAT("3 tiroirs"," (",AA69,""")")</f>
        <v>3 tiroirs (33")</v>
      </c>
      <c r="Q69" s="1">
        <v>2253.94</v>
      </c>
      <c r="R69" s="1">
        <f>Q69/11.25</f>
        <v>200.35022222222221</v>
      </c>
      <c r="S69" s="1">
        <f>R69*1.4</f>
        <v>280.49031111111105</v>
      </c>
      <c r="T69" s="1">
        <f>S69*1.1</f>
        <v>308.53934222222216</v>
      </c>
      <c r="U69" s="1">
        <f>T69*1.2</f>
        <v>370.2472106666666</v>
      </c>
      <c r="V69" s="1">
        <f>U69*1.2</f>
        <v>444.2966527999999</v>
      </c>
      <c r="W69" s="1">
        <f>V69*1.1</f>
        <v>488.72631807999994</v>
      </c>
      <c r="X69" s="1">
        <f>W69</f>
        <v>488.72631807999994</v>
      </c>
      <c r="Y69" s="2">
        <v>0.4</v>
      </c>
      <c r="Z69" s="1">
        <f>X69*(1+Y69)</f>
        <v>684.2168453119999</v>
      </c>
      <c r="AA69">
        <v>33</v>
      </c>
      <c r="AB69">
        <v>34.5</v>
      </c>
      <c r="AC69">
        <v>24</v>
      </c>
      <c r="AD69">
        <v>0</v>
      </c>
      <c r="AE69">
        <v>3</v>
      </c>
      <c r="AF69" t="str">
        <v>Base kitchen cabinet with 3 drawers (33")</v>
      </c>
      <c r="AG69" t="str">
        <v>3 drawers (33")</v>
      </c>
    </row>
    <row r="70" hidden="1">
      <c r="A70" t="str">
        <v>S8-DB33-2-muf</v>
      </c>
      <c r="E70" t="b">
        <f>IF(OR(B70=TRUE,C70=TRUE,D70=TRUE),FALSE,TRUE)</f>
        <v>1</v>
      </c>
      <c r="G70" t="str">
        <v>DRBC33-2</v>
      </c>
      <c r="H70" t="str">
        <f>IF(ISNUMBER(SEARCH("muf",A70)),"Chêne blanc","Blanc")</f>
        <v>Chêne blanc</v>
      </c>
      <c r="I70" t="str">
        <f>CONCAT(G70,IF(H70="","",IF(H70="Blanc","-CW","-WWO")))</f>
        <v>DRBC33-2-WWO</v>
      </c>
      <c r="J70" t="str">
        <f>IFERROR(VLOOKUP(K70,Categories!$A$2:$C$41,2,FALSE()),"⚠ slug introuvable")</f>
        <v>base-cabinet</v>
      </c>
      <c r="K70" t="str">
        <v>base-cabinet-drawer</v>
      </c>
      <c r="L70" t="str">
        <f>IFERROR(VLOOKUP(J70,Categories!$A$2:$C$41,3,FALSE()),"⚠ slug introuvable")</f>
        <v>Armoire du bas</v>
      </c>
      <c r="M70" t="str">
        <f>IFERROR(VLOOKUP(K70,Categories!$A$2:$C$41,3,FALSE()),"⚠ slug introuvable")</f>
        <v>Tiroir</v>
      </c>
      <c r="N70" t="str">
        <v>Armoire de cuisine du bas avec 2 tiroirs</v>
      </c>
      <c r="O70" t="str">
        <f>CONCAT(N70," (",AA70,""")")</f>
        <v>Armoire de cuisine du bas avec 2 tiroirs (33")</v>
      </c>
      <c r="P70" t="str">
        <f>CONCAT("2 tiroirs"," (",AA70,""")")</f>
        <v>2 tiroirs (33")</v>
      </c>
      <c r="Q70" s="1">
        <v>1519</v>
      </c>
      <c r="R70" s="1">
        <f>Q70/11.25</f>
        <v>135.0222222222222</v>
      </c>
      <c r="S70" s="1">
        <f>R70*1.4</f>
        <v>189.03111111111107</v>
      </c>
      <c r="T70" s="1">
        <f>S70*1.1</f>
        <v>207.9342222222222</v>
      </c>
      <c r="U70" s="1">
        <f>T70*1.2</f>
        <v>249.52106666666663</v>
      </c>
      <c r="V70" s="1">
        <f>U70*1.2</f>
        <v>299.42527999999993</v>
      </c>
      <c r="W70" s="1">
        <f>V70*1.1</f>
        <v>329.36780799999997</v>
      </c>
      <c r="X70" s="1">
        <f>W70</f>
        <v>329.36780799999997</v>
      </c>
      <c r="Y70" s="2">
        <v>0.4</v>
      </c>
      <c r="Z70" s="1">
        <f>X70*(1+Y70)</f>
        <v>461.11493119999994</v>
      </c>
      <c r="AA70">
        <v>33</v>
      </c>
      <c r="AB70">
        <v>34.5</v>
      </c>
      <c r="AC70">
        <v>24</v>
      </c>
      <c r="AD70">
        <v>0</v>
      </c>
      <c r="AE70">
        <v>2</v>
      </c>
      <c r="AF70" t="str">
        <v>Base kitchen cabinet with 2 drawers (33")</v>
      </c>
      <c r="AG70" t="str">
        <v>2 drawers (33")</v>
      </c>
    </row>
    <row r="71" hidden="1">
      <c r="A71" t="str">
        <v>S8-DB36</v>
      </c>
      <c r="E71" t="b">
        <f>IF(OR(B71=TRUE,C71=TRUE,D71=TRUE),FALSE,TRUE)</f>
        <v>1</v>
      </c>
      <c r="G71" t="str">
        <v>DRBC36</v>
      </c>
      <c r="H71" t="str">
        <f>IF(ISNUMBER(SEARCH("muf",A71)),"Chêne blanc","Blanc")</f>
        <v>Blanc</v>
      </c>
      <c r="I71" t="str">
        <f>CONCAT(G71,IF(H71="","",IF(H71="Blanc","-CW","-WWO")))</f>
        <v>DRBC36-CW</v>
      </c>
      <c r="J71" t="str">
        <f>IFERROR(VLOOKUP(K71,Categories!$A$2:$C$41,2,FALSE()),"⚠ slug introuvable")</f>
        <v>base-cabinet</v>
      </c>
      <c r="K71" t="str">
        <v>base-cabinet-drawer</v>
      </c>
      <c r="L71" t="str">
        <f>IFERROR(VLOOKUP(J71,Categories!$A$2:$C$41,3,FALSE()),"⚠ slug introuvable")</f>
        <v>Armoire du bas</v>
      </c>
      <c r="M71" t="str">
        <f>IFERROR(VLOOKUP(K71,Categories!$A$2:$C$41,3,FALSE()),"⚠ slug introuvable")</f>
        <v>Tiroir</v>
      </c>
      <c r="N71" t="str">
        <v>Armoire de cuisine du bas avec 3 tiroirs</v>
      </c>
      <c r="O71" t="str">
        <f>CONCAT(N71," (",AA71,""")")</f>
        <v>Armoire de cuisine du bas avec 3 tiroirs (36")</v>
      </c>
      <c r="P71" t="str">
        <f>CONCAT("3 tiroirs"," (",AA71,""")")</f>
        <v>3 tiroirs (36")</v>
      </c>
      <c r="Q71" s="1">
        <v>1604</v>
      </c>
      <c r="R71" s="1">
        <f>Q71/11.25</f>
        <v>142.57777777777778</v>
      </c>
      <c r="S71" s="1">
        <f>R71*1.4</f>
        <v>199.60888888888888</v>
      </c>
      <c r="T71" s="1">
        <f>S71*1.1</f>
        <v>219.5697777777778</v>
      </c>
      <c r="U71" s="1">
        <f>T71*1.2</f>
        <v>263.48373333333336</v>
      </c>
      <c r="V71" s="1">
        <f>U71*1.2</f>
        <v>316.18048000000005</v>
      </c>
      <c r="W71" s="1">
        <f>V71*1.1</f>
        <v>347.7985280000001</v>
      </c>
      <c r="X71" s="1">
        <f>W71</f>
        <v>347.7985280000001</v>
      </c>
      <c r="Y71" s="2">
        <v>0.4</v>
      </c>
      <c r="Z71" s="1">
        <f>X71*(1+Y71)</f>
        <v>486.9179392000001</v>
      </c>
      <c r="AA71">
        <v>36</v>
      </c>
      <c r="AB71">
        <v>34.5</v>
      </c>
      <c r="AC71">
        <v>24</v>
      </c>
      <c r="AD71">
        <v>0</v>
      </c>
      <c r="AE71">
        <v>3</v>
      </c>
      <c r="AF71" t="str">
        <v>Base kitchen cabinet with 3 drawers (36")</v>
      </c>
      <c r="AG71" t="str">
        <v>3 drawers (36")</v>
      </c>
    </row>
    <row r="72" hidden="1">
      <c r="A72" t="str">
        <v>S8-DB36-muf</v>
      </c>
      <c r="E72" t="b">
        <f>IF(OR(B72=TRUE,C72=TRUE,D72=TRUE),FALSE,TRUE)</f>
        <v>1</v>
      </c>
      <c r="G72" t="str">
        <v>DRBC36</v>
      </c>
      <c r="H72" t="str">
        <f>IF(ISNUMBER(SEARCH("muf",A72)),"Chêne blanc","Blanc")</f>
        <v>Chêne blanc</v>
      </c>
      <c r="I72" t="str">
        <f>CONCAT(G72,IF(H72="","",IF(H72="Blanc","-CW","-WWO")))</f>
        <v>DRBC36-WWO</v>
      </c>
      <c r="J72" t="str">
        <f>IFERROR(VLOOKUP(K72,Categories!$A$2:$C$41,2,FALSE()),"⚠ slug introuvable")</f>
        <v>base-cabinet</v>
      </c>
      <c r="K72" t="str">
        <v>base-cabinet-drawer</v>
      </c>
      <c r="L72" t="str">
        <f>IFERROR(VLOOKUP(J72,Categories!$A$2:$C$41,3,FALSE()),"⚠ slug introuvable")</f>
        <v>Armoire du bas</v>
      </c>
      <c r="M72" t="str">
        <f>IFERROR(VLOOKUP(K72,Categories!$A$2:$C$41,3,FALSE()),"⚠ slug introuvable")</f>
        <v>Tiroir</v>
      </c>
      <c r="N72" t="str">
        <v>Armoire de cuisine du bas avec 3 tiroirs</v>
      </c>
      <c r="O72" t="str">
        <f>CONCAT(N72," (",AA72,""")")</f>
        <v>Armoire de cuisine du bas avec 3 tiroirs (36")</v>
      </c>
      <c r="P72" t="str">
        <f>CONCAT("3 tiroirs"," (",AA72,""")")</f>
        <v>3 tiroirs (36")</v>
      </c>
      <c r="Q72" s="1">
        <v>2451.83</v>
      </c>
      <c r="R72" s="1">
        <f>Q72/11.25</f>
        <v>217.94044444444444</v>
      </c>
      <c r="S72" s="1">
        <f>R72*1.4</f>
        <v>305.1166222222222</v>
      </c>
      <c r="T72" s="1">
        <f>S72*1.1</f>
        <v>335.62828444444443</v>
      </c>
      <c r="U72" s="1">
        <f>T72*1.2</f>
        <v>402.75394133333333</v>
      </c>
      <c r="V72" s="1">
        <f>U72*1.2</f>
        <v>483.3047296</v>
      </c>
      <c r="W72" s="1">
        <f>V72*1.1</f>
        <v>531.63520256</v>
      </c>
      <c r="X72" s="1">
        <f>W72</f>
        <v>531.63520256</v>
      </c>
      <c r="Y72" s="2">
        <v>0.4</v>
      </c>
      <c r="Z72" s="1">
        <f>X72*(1+Y72)</f>
        <v>744.289283584</v>
      </c>
      <c r="AA72">
        <v>36</v>
      </c>
      <c r="AB72">
        <v>34.5</v>
      </c>
      <c r="AC72">
        <v>24</v>
      </c>
      <c r="AD72">
        <v>0</v>
      </c>
      <c r="AE72">
        <v>3</v>
      </c>
      <c r="AF72" t="str">
        <v>Base kitchen cabinet with 3 drawers (36")</v>
      </c>
      <c r="AG72" t="str">
        <v>3 drawers (36")</v>
      </c>
    </row>
    <row r="73" hidden="1">
      <c r="A73" t="str">
        <v>S8-DB36-2-muf</v>
      </c>
      <c r="E73" t="b">
        <f>IF(OR(B73=TRUE,C73=TRUE,D73=TRUE),FALSE,TRUE)</f>
        <v>1</v>
      </c>
      <c r="G73" t="str">
        <v>DRBC36-2</v>
      </c>
      <c r="H73" t="str">
        <f>IF(ISNUMBER(SEARCH("muf",A73)),"Chêne blanc","Blanc")</f>
        <v>Chêne blanc</v>
      </c>
      <c r="I73" t="str">
        <f>CONCAT(G73,IF(H73="","",IF(H73="Blanc","-CW","-WWO")))</f>
        <v>DRBC36-2-WWO</v>
      </c>
      <c r="J73" t="str">
        <f>IFERROR(VLOOKUP(K73,Categories!$A$2:$C$41,2,FALSE()),"⚠ slug introuvable")</f>
        <v>base-cabinet</v>
      </c>
      <c r="K73" t="str">
        <v>base-cabinet-drawer</v>
      </c>
      <c r="L73" t="str">
        <f>IFERROR(VLOOKUP(J73,Categories!$A$2:$C$41,3,FALSE()),"⚠ slug introuvable")</f>
        <v>Armoire du bas</v>
      </c>
      <c r="M73" t="str">
        <f>IFERROR(VLOOKUP(K73,Categories!$A$2:$C$41,3,FALSE()),"⚠ slug introuvable")</f>
        <v>Tiroir</v>
      </c>
      <c r="N73" t="str">
        <v>Armoire de cuisine du bas avec 2 tiroirs</v>
      </c>
      <c r="O73" t="str">
        <f>CONCAT(N73," (",AA73,""")")</f>
        <v>Armoire de cuisine du bas avec 2 tiroirs (36")</v>
      </c>
      <c r="P73" t="str">
        <f>CONCAT("2 tiroirs"," (",AA73,""")")</f>
        <v>2 tiroirs (36")</v>
      </c>
      <c r="Q73" s="1">
        <v>1621</v>
      </c>
      <c r="R73" s="1">
        <f>Q73/11.25</f>
        <v>144.0888888888889</v>
      </c>
      <c r="S73" s="1">
        <f>R73*1.4</f>
        <v>201.72444444444446</v>
      </c>
      <c r="T73" s="1">
        <f>S73*1.1</f>
        <v>221.89688888888892</v>
      </c>
      <c r="U73" s="1">
        <f>T73*1.2</f>
        <v>266.2762666666667</v>
      </c>
      <c r="V73" s="1">
        <f>U73*1.2</f>
        <v>319.53152</v>
      </c>
      <c r="W73" s="1">
        <f>V73*1.1</f>
        <v>351.48467200000005</v>
      </c>
      <c r="X73" s="1">
        <f>W73</f>
        <v>351.48467200000005</v>
      </c>
      <c r="Y73" s="2">
        <v>0.4</v>
      </c>
      <c r="Z73" s="1">
        <f>X73*(1+Y73)</f>
        <v>492.07854080000004</v>
      </c>
      <c r="AA73">
        <v>36</v>
      </c>
      <c r="AB73">
        <v>34.5</v>
      </c>
      <c r="AC73">
        <v>24</v>
      </c>
      <c r="AD73">
        <v>0</v>
      </c>
      <c r="AE73">
        <v>2</v>
      </c>
      <c r="AF73" t="str">
        <v>Base kitchen cabinet with 2 drawers (36")</v>
      </c>
      <c r="AG73" t="str">
        <v>2 drawers (36")</v>
      </c>
    </row>
    <row r="74" hidden="1">
      <c r="A74" t="str">
        <v>S8-DWR336</v>
      </c>
      <c r="E74" t="b">
        <f>IF(OR(B74=TRUE,C74=TRUE,D74=TRUE),FALSE,TRUE)</f>
        <v>1</v>
      </c>
      <c r="G74" t="str">
        <v>DWP</v>
      </c>
      <c r="H74" t="str">
        <f>IF(ISNUMBER(SEARCH("muf",A74)),"Chêne blanc","Blanc")</f>
        <v>Blanc</v>
      </c>
      <c r="I74" t="str">
        <f>CONCAT(G74,IF(H74="","",IF(H74="Blanc","-CW","-WWO")))</f>
        <v>DWP-CW</v>
      </c>
      <c r="J74" t="str">
        <f>IFERROR(VLOOKUP(K74,Categories!$A$2:$C$41,2,FALSE()),"⚠ slug introuvable")</f>
        <v>fillers-panels-moldings</v>
      </c>
      <c r="K74" t="str">
        <v>return-panels-appliance</v>
      </c>
      <c r="L74" t="str">
        <f>IFERROR(VLOOKUP(J74,Categories!$A$2:$C$41,3,FALSE()),"⚠ slug introuvable")</f>
        <v>Fillers, panneaux &amp; moulures</v>
      </c>
      <c r="M74" t="str">
        <f>IFERROR(VLOOKUP(K74,Categories!$A$2:$C$41,3,FALSE()),"⚠ slug introuvable")</f>
        <v>Panneau latéral pour électros</v>
      </c>
      <c r="N74" t="str">
        <v>Panneau latéral pour lave-vaisselle</v>
      </c>
      <c r="O74" t="str">
        <v>Panneau latéral pour lave-vaisselle</v>
      </c>
      <c r="P74" t="str">
        <f>CONCAT("Lave-vaisselle"," (",AB74,""" x ",AC74,""")")</f>
        <v>Lave-vaisselle (34.5" x 24")</v>
      </c>
      <c r="Q74" s="1">
        <v>152</v>
      </c>
      <c r="R74" s="1">
        <f>Q74/11.25</f>
        <v>13.511111111111111</v>
      </c>
      <c r="S74" s="1">
        <f>R74*1.4</f>
        <v>18.915555555555553</v>
      </c>
      <c r="T74" s="1">
        <f>S74*1.1</f>
        <v>20.80711111111111</v>
      </c>
      <c r="U74" s="1">
        <f>T74*1.2</f>
        <v>24.96853333333333</v>
      </c>
      <c r="V74" s="1">
        <f>U74*1.2</f>
        <v>29.962239999999994</v>
      </c>
      <c r="W74" s="1">
        <f>V74*1.1</f>
        <v>32.958464</v>
      </c>
      <c r="X74" s="1">
        <f>W74</f>
        <v>32.958464</v>
      </c>
      <c r="Y74" s="2">
        <v>0.4</v>
      </c>
      <c r="Z74" s="1">
        <f>X74*(1+Y74)</f>
        <v>46.14184959999999</v>
      </c>
      <c r="AA74">
        <v>3</v>
      </c>
      <c r="AB74">
        <v>34.5</v>
      </c>
      <c r="AC74">
        <v>24</v>
      </c>
      <c r="AD74" t="str">
        <v>N/A</v>
      </c>
      <c r="AE74" t="str">
        <v>N/A</v>
      </c>
      <c r="AF74" t="str">
        <v>Side panel for dishwasher</v>
      </c>
      <c r="AG74" t="str">
        <v>Dishwasher (34.5" x 24")</v>
      </c>
    </row>
    <row r="75" hidden="1">
      <c r="A75" t="str">
        <v>S8-DWR336-muf</v>
      </c>
      <c r="E75" t="b">
        <f>IF(OR(B75=TRUE,C75=TRUE,D75=TRUE),FALSE,TRUE)</f>
        <v>1</v>
      </c>
      <c r="G75" t="str">
        <v>DWP</v>
      </c>
      <c r="H75" t="str">
        <f>IF(ISNUMBER(SEARCH("muf",A75)),"Chêne blanc","Blanc")</f>
        <v>Chêne blanc</v>
      </c>
      <c r="I75" t="str">
        <f>CONCAT(G75,IF(H75="","",IF(H75="Blanc","-CW","-WWO")))</f>
        <v>DWP-WWO</v>
      </c>
      <c r="J75" t="str">
        <f>IFERROR(VLOOKUP(K75,Categories!$A$2:$C$41,2,FALSE()),"⚠ slug introuvable")</f>
        <v>fillers-panels-moldings</v>
      </c>
      <c r="K75" t="str">
        <v>return-panels-appliance</v>
      </c>
      <c r="L75" t="str">
        <f>IFERROR(VLOOKUP(J75,Categories!$A$2:$C$41,3,FALSE()),"⚠ slug introuvable")</f>
        <v>Fillers, panneaux &amp; moulures</v>
      </c>
      <c r="M75" t="str">
        <f>IFERROR(VLOOKUP(K75,Categories!$A$2:$C$41,3,FALSE()),"⚠ slug introuvable")</f>
        <v>Panneau latéral pour électros</v>
      </c>
      <c r="N75" t="str">
        <v>Panneau latéral pour lave-vaisselle</v>
      </c>
      <c r="O75" t="str">
        <v>Panneau latéral pour lave-vaisselle</v>
      </c>
      <c r="P75" t="str">
        <f>CONCAT("Lave-vaisselle"," (",AB75,""" x ",AC75,""")")</f>
        <v>Lave-vaisselle (34.5" x 24")</v>
      </c>
      <c r="Q75" s="1">
        <v>417.83</v>
      </c>
      <c r="R75" s="1">
        <f>Q75/11.25</f>
        <v>37.14044444444444</v>
      </c>
      <c r="S75" s="1">
        <f>R75*1.4</f>
        <v>51.996622222222214</v>
      </c>
      <c r="T75" s="1">
        <f>S75*1.1</f>
        <v>57.19628444444444</v>
      </c>
      <c r="U75" s="1">
        <f>T75*1.2</f>
        <v>68.63554133333332</v>
      </c>
      <c r="V75" s="1">
        <f>U75*1.2</f>
        <v>82.36264959999998</v>
      </c>
      <c r="W75" s="1">
        <f>V75*1.1</f>
        <v>90.59891455999998</v>
      </c>
      <c r="X75" s="1">
        <f>W75</f>
        <v>90.59891455999998</v>
      </c>
      <c r="Y75" s="2">
        <v>0.4</v>
      </c>
      <c r="Z75" s="1">
        <f>X75*(1+Y75)</f>
        <v>126.83848038399996</v>
      </c>
      <c r="AA75">
        <v>3</v>
      </c>
      <c r="AB75">
        <v>34.5</v>
      </c>
      <c r="AC75">
        <v>24</v>
      </c>
      <c r="AD75" t="str">
        <v>N/A</v>
      </c>
      <c r="AE75" t="str">
        <v>N/A</v>
      </c>
      <c r="AF75" t="str">
        <v>Side panel for dishwasher</v>
      </c>
      <c r="AG75" t="str">
        <v>Dishwasher (34.5" x 24")</v>
      </c>
    </row>
    <row r="76" hidden="1">
      <c r="A76" t="str">
        <v>S8-FB09</v>
      </c>
      <c r="E76" t="b">
        <f>IF(OR(B76=TRUE,C76=TRUE,D76=TRUE),FALSE,TRUE)</f>
        <v>1</v>
      </c>
      <c r="G76" t="str">
        <v>DOBC09</v>
      </c>
      <c r="H76" t="str">
        <f>IF(ISNUMBER(SEARCH("muf",A76)),"Chêne blanc","Blanc")</f>
        <v>Blanc</v>
      </c>
      <c r="I76" t="str">
        <f>CONCAT(G76,IF(H76="","",IF(H76="Blanc","-CW","-WWO")))</f>
        <v>DOBC09-CW</v>
      </c>
      <c r="J76" t="str">
        <f>IFERROR(VLOOKUP(K76,Categories!$A$2:$C$41,2,FALSE()),"⚠ slug introuvable")</f>
        <v>base-cabinet</v>
      </c>
      <c r="K76" t="str">
        <v>base-cabinet-standard</v>
      </c>
      <c r="L76" t="str">
        <f>IFERROR(VLOOKUP(J76,Categories!$A$2:$C$41,3,FALSE()),"⚠ slug introuvable")</f>
        <v>Armoire du bas</v>
      </c>
      <c r="M76" t="str">
        <f>IFERROR(VLOOKUP(K76,Categories!$A$2:$C$41,3,FALSE()),"⚠ slug introuvable")</f>
        <v>Standard</v>
      </c>
      <c r="N76" t="str">
        <v>Armoire de cuisine du bas avec 1 porte</v>
      </c>
      <c r="O76" t="str">
        <f>CONCAT(N76," (",AA76,""")")</f>
        <v>Armoire de cuisine du bas avec 1 porte (9")</v>
      </c>
      <c r="P76" t="str">
        <f>CONCAT("1 porte"," (",AA76,""")")</f>
        <v>1 porte (9")</v>
      </c>
      <c r="Q76" s="1">
        <v>441</v>
      </c>
      <c r="R76" s="1">
        <f>Q76/11.25</f>
        <v>39.2</v>
      </c>
      <c r="S76" s="1">
        <f>R76*1.4</f>
        <v>54.88</v>
      </c>
      <c r="T76" s="1">
        <f>S76*1.1</f>
        <v>60.36800000000001</v>
      </c>
      <c r="U76" s="1">
        <f>T76*1.2</f>
        <v>72.44160000000001</v>
      </c>
      <c r="V76" s="1">
        <f>U76*1.2</f>
        <v>86.92992000000001</v>
      </c>
      <c r="W76" s="1">
        <f>V76*1.1</f>
        <v>95.62291200000001</v>
      </c>
      <c r="X76" s="1">
        <f>W76</f>
        <v>95.62291200000001</v>
      </c>
      <c r="Y76" s="2">
        <v>0.4</v>
      </c>
      <c r="Z76" s="1">
        <f>X76*(1+Y76)</f>
        <v>133.8720768</v>
      </c>
      <c r="AA76">
        <v>9</v>
      </c>
      <c r="AB76">
        <v>34.5</v>
      </c>
      <c r="AC76">
        <v>24</v>
      </c>
      <c r="AD76">
        <v>1</v>
      </c>
      <c r="AE76">
        <v>0</v>
      </c>
      <c r="AF76" t="str">
        <v>Base kitchen cabinet with 1 door (9")</v>
      </c>
      <c r="AG76" t="str">
        <v>1 door (9")</v>
      </c>
    </row>
    <row r="77" hidden="1">
      <c r="A77" t="str">
        <v>S8-FB09-muf</v>
      </c>
      <c r="E77" t="b">
        <f>IF(OR(B77=TRUE,C77=TRUE,D77=TRUE),FALSE,TRUE)</f>
        <v>1</v>
      </c>
      <c r="G77" t="str">
        <v>DOBC09</v>
      </c>
      <c r="H77" t="str">
        <f>IF(ISNUMBER(SEARCH("muf",A77)),"Chêne blanc","Blanc")</f>
        <v>Chêne blanc</v>
      </c>
      <c r="I77" t="str">
        <f>CONCAT(G77,IF(H77="","",IF(H77="Blanc","-CW","-WWO")))</f>
        <v>DOBC09-WWO</v>
      </c>
      <c r="J77" t="str">
        <f>IFERROR(VLOOKUP(K77,Categories!$A$2:$C$41,2,FALSE()),"⚠ slug introuvable")</f>
        <v>base-cabinet</v>
      </c>
      <c r="K77" t="str">
        <v>base-cabinet-standard</v>
      </c>
      <c r="L77" t="str">
        <f>IFERROR(VLOOKUP(J77,Categories!$A$2:$C$41,3,FALSE()),"⚠ slug introuvable")</f>
        <v>Armoire du bas</v>
      </c>
      <c r="M77" t="str">
        <f>IFERROR(VLOOKUP(K77,Categories!$A$2:$C$41,3,FALSE()),"⚠ slug introuvable")</f>
        <v>Standard</v>
      </c>
      <c r="N77" t="str">
        <v>Armoire de cuisine du bas avec 1 porte</v>
      </c>
      <c r="O77" t="str">
        <f>CONCAT(N77," (",AA77,""")")</f>
        <v>Armoire de cuisine du bas avec 1 porte (9")</v>
      </c>
      <c r="P77" t="str">
        <f>CONCAT("1 porte"," (",AA77,""")")</f>
        <v>1 porte (9")</v>
      </c>
      <c r="Q77" s="1">
        <v>527.18</v>
      </c>
      <c r="R77" s="1">
        <f>Q77/11.25</f>
        <v>46.86044444444444</v>
      </c>
      <c r="S77" s="1">
        <f>R77*1.4</f>
        <v>65.60462222222222</v>
      </c>
      <c r="T77" s="1">
        <f>S77*1.1</f>
        <v>72.16508444444445</v>
      </c>
      <c r="U77" s="1">
        <f>T77*1.2</f>
        <v>86.59810133333333</v>
      </c>
      <c r="V77" s="1">
        <f>U77*1.2</f>
        <v>103.9177216</v>
      </c>
      <c r="W77" s="1">
        <f>V77*1.1</f>
        <v>114.30949376</v>
      </c>
      <c r="X77" s="1">
        <f>W77</f>
        <v>114.30949376</v>
      </c>
      <c r="Y77" s="2">
        <v>0.4</v>
      </c>
      <c r="Z77" s="1">
        <f>X77*(1+Y77)</f>
        <v>160.03329126399998</v>
      </c>
      <c r="AA77">
        <v>9</v>
      </c>
      <c r="AB77">
        <v>34.5</v>
      </c>
      <c r="AC77">
        <v>24</v>
      </c>
      <c r="AD77">
        <v>1</v>
      </c>
      <c r="AE77">
        <v>0</v>
      </c>
      <c r="AF77" t="str">
        <v>Base kitchen cabinet with 1 door (9")</v>
      </c>
      <c r="AG77" t="str">
        <v>1 door (9")</v>
      </c>
    </row>
    <row r="78" hidden="1">
      <c r="A78" t="str">
        <v>S8-FB12</v>
      </c>
      <c r="E78" t="b">
        <f>IF(OR(B78=TRUE,C78=TRUE,D78=TRUE),FALSE,TRUE)</f>
        <v>1</v>
      </c>
      <c r="G78" t="str">
        <v>DOBC12</v>
      </c>
      <c r="H78" t="str">
        <f>IF(ISNUMBER(SEARCH("muf",A78)),"Chêne blanc","Blanc")</f>
        <v>Blanc</v>
      </c>
      <c r="I78" t="str">
        <f>CONCAT(G78,IF(H78="","",IF(H78="Blanc","-CW","-WWO")))</f>
        <v>DOBC12-CW</v>
      </c>
      <c r="J78" t="str">
        <f>IFERROR(VLOOKUP(K78,Categories!$A$2:$C$41,2,FALSE()),"⚠ slug introuvable")</f>
        <v>base-cabinet</v>
      </c>
      <c r="K78" t="str">
        <v>base-cabinet-standard</v>
      </c>
      <c r="L78" t="str">
        <f>IFERROR(VLOOKUP(J78,Categories!$A$2:$C$41,3,FALSE()),"⚠ slug introuvable")</f>
        <v>Armoire du bas</v>
      </c>
      <c r="M78" t="str">
        <f>IFERROR(VLOOKUP(K78,Categories!$A$2:$C$41,3,FALSE()),"⚠ slug introuvable")</f>
        <v>Standard</v>
      </c>
      <c r="N78" t="str">
        <v>Armoire de cuisine du bas avec 1 porte</v>
      </c>
      <c r="O78" t="str">
        <f>CONCAT(N78," (",AA78,""")")</f>
        <v>Armoire de cuisine du bas avec 1 porte (12")</v>
      </c>
      <c r="P78" t="str">
        <f>CONCAT("1 porte"," (",AA78,""")")</f>
        <v>1 porte (12")</v>
      </c>
      <c r="Q78" s="1">
        <v>488</v>
      </c>
      <c r="R78" s="1">
        <f>Q78/11.25</f>
        <v>43.37777777777778</v>
      </c>
      <c r="S78" s="1">
        <f>R78*1.4</f>
        <v>60.72888888888889</v>
      </c>
      <c r="T78" s="1">
        <f>S78*1.1</f>
        <v>66.80177777777779</v>
      </c>
      <c r="U78" s="1">
        <f>T78*1.2</f>
        <v>80.16213333333334</v>
      </c>
      <c r="V78" s="1">
        <f>U78*1.2</f>
        <v>96.19456000000001</v>
      </c>
      <c r="W78" s="1">
        <f>V78*1.1</f>
        <v>105.81401600000002</v>
      </c>
      <c r="X78" s="1">
        <f>W78</f>
        <v>105.81401600000002</v>
      </c>
      <c r="Y78" s="2">
        <v>0.4</v>
      </c>
      <c r="Z78" s="1">
        <f>X78*(1+Y78)</f>
        <v>148.13962240000004</v>
      </c>
      <c r="AA78">
        <v>12</v>
      </c>
      <c r="AB78">
        <v>34.5</v>
      </c>
      <c r="AC78">
        <v>24</v>
      </c>
      <c r="AD78">
        <v>1</v>
      </c>
      <c r="AE78">
        <v>0</v>
      </c>
      <c r="AF78" t="str">
        <v>Base kitchen cabinet with 1 door (12")</v>
      </c>
      <c r="AG78" t="str">
        <v>1 door (12")</v>
      </c>
    </row>
    <row r="79" hidden="1">
      <c r="A79" t="str">
        <v>S8-FB12-muf</v>
      </c>
      <c r="E79" t="b">
        <f>IF(OR(B79=TRUE,C79=TRUE,D79=TRUE),FALSE,TRUE)</f>
        <v>1</v>
      </c>
      <c r="G79" t="str">
        <v>DOBC12</v>
      </c>
      <c r="H79" t="str">
        <f>IF(ISNUMBER(SEARCH("muf",A79)),"Chêne blanc","Blanc")</f>
        <v>Chêne blanc</v>
      </c>
      <c r="I79" t="str">
        <f>CONCAT(G79,IF(H79="","",IF(H79="Blanc","-CW","-WWO")))</f>
        <v>DOBC12-WWO</v>
      </c>
      <c r="J79" t="str">
        <f>IFERROR(VLOOKUP(K79,Categories!$A$2:$C$41,2,FALSE()),"⚠ slug introuvable")</f>
        <v>base-cabinet</v>
      </c>
      <c r="K79" t="str">
        <v>base-cabinet-standard</v>
      </c>
      <c r="L79" t="str">
        <f>IFERROR(VLOOKUP(J79,Categories!$A$2:$C$41,3,FALSE()),"⚠ slug introuvable")</f>
        <v>Armoire du bas</v>
      </c>
      <c r="M79" t="str">
        <f>IFERROR(VLOOKUP(K79,Categories!$A$2:$C$41,3,FALSE()),"⚠ slug introuvable")</f>
        <v>Standard</v>
      </c>
      <c r="N79" t="str">
        <v>Armoire de cuisine du bas avec 1 porte</v>
      </c>
      <c r="O79" t="str">
        <f>CONCAT(N79," (",AA79,""")")</f>
        <v>Armoire de cuisine du bas avec 1 porte (12")</v>
      </c>
      <c r="P79" t="str">
        <f>CONCAT("1 porte"," (",AA79,""")")</f>
        <v>1 porte (12")</v>
      </c>
      <c r="Q79" s="1">
        <v>587.25</v>
      </c>
      <c r="R79" s="1">
        <f>Q79/11.25</f>
        <v>52.2</v>
      </c>
      <c r="S79" s="1">
        <f>R79*1.4</f>
        <v>73.08</v>
      </c>
      <c r="T79" s="1">
        <f>S79*1.1</f>
        <v>80.388</v>
      </c>
      <c r="U79" s="1">
        <f>T79*1.2</f>
        <v>96.46560000000001</v>
      </c>
      <c r="V79" s="1">
        <f>U79*1.2</f>
        <v>115.75872000000001</v>
      </c>
      <c r="W79" s="1">
        <f>V79*1.1</f>
        <v>127.33459200000003</v>
      </c>
      <c r="X79" s="1">
        <f>W79</f>
        <v>127.33459200000003</v>
      </c>
      <c r="Y79" s="2">
        <v>0.4</v>
      </c>
      <c r="Z79" s="1">
        <f>X79*(1+Y79)</f>
        <v>178.26842880000004</v>
      </c>
      <c r="AA79">
        <v>12</v>
      </c>
      <c r="AB79">
        <v>34.5</v>
      </c>
      <c r="AC79">
        <v>24</v>
      </c>
      <c r="AD79">
        <v>1</v>
      </c>
      <c r="AE79">
        <v>0</v>
      </c>
      <c r="AF79" t="str">
        <v>Base kitchen cabinet with 1 door (12")</v>
      </c>
      <c r="AG79" t="str">
        <v>1 door (12")</v>
      </c>
    </row>
    <row r="80">
      <c r="A80" t="str">
        <v>S8-FB15</v>
      </c>
      <c r="E80" t="b">
        <f>IF(OR(B80=TRUE,C80=TRUE,D80=TRUE),FALSE,TRUE)</f>
        <v>1</v>
      </c>
      <c r="G80" t="str">
        <v>DOBC15</v>
      </c>
      <c r="H80" t="str">
        <f>IF(ISNUMBER(SEARCH("muf",A80)),"Chêne blanc","Blanc")</f>
        <v>Blanc</v>
      </c>
      <c r="I80" t="str">
        <f>CONCAT(G80,IF(H80="","",IF(H80="Blanc","-CW","-WWO")))</f>
        <v>DOBC15-CW</v>
      </c>
      <c r="J80" t="str">
        <f>IFERROR(VLOOKUP(K80,Categories!$A$2:$C$41,2,FALSE()),"⚠ slug introuvable")</f>
        <v>base-cabinet</v>
      </c>
      <c r="K80" t="str">
        <v>base-cabinet-standard</v>
      </c>
      <c r="L80" t="str">
        <f>IFERROR(VLOOKUP(J80,Categories!$A$2:$C$41,3,FALSE()),"⚠ slug introuvable")</f>
        <v>Armoire du bas</v>
      </c>
      <c r="M80" t="str">
        <f>IFERROR(VLOOKUP(K80,Categories!$A$2:$C$41,3,FALSE()),"⚠ slug introuvable")</f>
        <v>Standard</v>
      </c>
      <c r="N80" t="str">
        <v>Armoire de cuisine du bas avec 1 porte</v>
      </c>
      <c r="O80" t="str">
        <f>CONCAT(N80," (",AA80,""")")</f>
        <v>Armoire de cuisine du bas avec 1 porte (15")</v>
      </c>
      <c r="P80" t="str">
        <f>CONCAT("1 porte"," (",AA80,""")")</f>
        <v>1 porte (15")</v>
      </c>
      <c r="Q80" s="1">
        <v>552</v>
      </c>
      <c r="R80" s="1">
        <f>Q80/11.25</f>
        <v>49.06666666666667</v>
      </c>
      <c r="S80" s="1">
        <f>R80*1.4</f>
        <v>68.69333333333333</v>
      </c>
      <c r="T80" s="1">
        <f>S80*1.1</f>
        <v>75.56266666666667</v>
      </c>
      <c r="U80" s="1">
        <f>T80*1.2</f>
        <v>90.6752</v>
      </c>
      <c r="V80" s="1">
        <f>U80*1.2</f>
        <v>108.81024000000001</v>
      </c>
      <c r="W80" s="1">
        <f>V80*1.1</f>
        <v>119.69126400000002</v>
      </c>
      <c r="X80" s="1">
        <f>W80</f>
        <v>119.69126400000002</v>
      </c>
      <c r="Y80" s="2">
        <v>0.4</v>
      </c>
      <c r="Z80" s="1">
        <f>X80*(1+Y80)</f>
        <v>167.56776960000002</v>
      </c>
      <c r="AA80">
        <v>15</v>
      </c>
      <c r="AB80">
        <v>34.5</v>
      </c>
      <c r="AC80">
        <v>24</v>
      </c>
      <c r="AD80">
        <v>1</v>
      </c>
      <c r="AE80">
        <v>0</v>
      </c>
      <c r="AF80" t="str">
        <v>Base kitchen cabinet with 1 door (15")</v>
      </c>
      <c r="AG80" t="str">
        <v>1 door (15")</v>
      </c>
    </row>
    <row r="81" hidden="1">
      <c r="A81" t="str">
        <v>S8-FB15-muf</v>
      </c>
      <c r="E81" t="b">
        <f>IF(OR(B81=TRUE,C81=TRUE,D81=TRUE),FALSE,TRUE)</f>
        <v>1</v>
      </c>
      <c r="G81" t="str">
        <v>DOBC15</v>
      </c>
      <c r="H81" t="str">
        <f>IF(ISNUMBER(SEARCH("muf",A81)),"Chêne blanc","Blanc")</f>
        <v>Chêne blanc</v>
      </c>
      <c r="I81" t="str">
        <f>CONCAT(G81,IF(H81="","",IF(H81="Blanc","-CW","-WWO")))</f>
        <v>DOBC15-WWO</v>
      </c>
      <c r="J81" t="str">
        <f>IFERROR(VLOOKUP(K81,Categories!$A$2:$C$41,2,FALSE()),"⚠ slug introuvable")</f>
        <v>base-cabinet</v>
      </c>
      <c r="K81" t="str">
        <v>base-cabinet-standard</v>
      </c>
      <c r="L81" t="str">
        <f>IFERROR(VLOOKUP(J81,Categories!$A$2:$C$41,3,FALSE()),"⚠ slug introuvable")</f>
        <v>Armoire du bas</v>
      </c>
      <c r="M81" t="str">
        <f>IFERROR(VLOOKUP(K81,Categories!$A$2:$C$41,3,FALSE()),"⚠ slug introuvable")</f>
        <v>Standard</v>
      </c>
      <c r="N81" t="str">
        <v>Armoire de cuisine du bas avec 1 porte</v>
      </c>
      <c r="O81" t="str">
        <f>CONCAT(N81," (",AA81,""")")</f>
        <v>Armoire de cuisine du bas avec 1 porte (15")</v>
      </c>
      <c r="P81" t="str">
        <f>CONCAT("1 porte"," (",AA81,""")")</f>
        <v>1 porte (15")</v>
      </c>
      <c r="Q81" s="1">
        <v>663.98</v>
      </c>
      <c r="R81" s="1">
        <f>Q81/11.25</f>
        <v>59.02044444444444</v>
      </c>
      <c r="S81" s="1">
        <f>R81*1.4</f>
        <v>82.62862222222222</v>
      </c>
      <c r="T81" s="1">
        <f>S81*1.1</f>
        <v>90.89148444444444</v>
      </c>
      <c r="U81" s="1">
        <f>T81*1.2</f>
        <v>109.06978133333332</v>
      </c>
      <c r="V81" s="1">
        <f>U81*1.2</f>
        <v>130.8837376</v>
      </c>
      <c r="W81" s="1">
        <f>V81*1.1</f>
        <v>143.97211136</v>
      </c>
      <c r="X81" s="1">
        <f>W81</f>
        <v>143.97211136</v>
      </c>
      <c r="Y81" s="2">
        <v>0.4</v>
      </c>
      <c r="Z81" s="1">
        <f>X81*(1+Y81)</f>
        <v>201.560955904</v>
      </c>
      <c r="AA81">
        <v>15</v>
      </c>
      <c r="AB81">
        <v>34.5</v>
      </c>
      <c r="AC81">
        <v>24</v>
      </c>
      <c r="AD81">
        <v>1</v>
      </c>
      <c r="AE81">
        <v>0</v>
      </c>
      <c r="AF81" t="str">
        <v>Base kitchen cabinet with 1 door (15")</v>
      </c>
      <c r="AG81" t="str">
        <v>1 door (15")</v>
      </c>
    </row>
    <row r="82" hidden="1">
      <c r="A82" t="str">
        <v>S8-FB18</v>
      </c>
      <c r="E82" t="b">
        <f>IF(OR(B82=TRUE,C82=TRUE,D82=TRUE),FALSE,TRUE)</f>
        <v>1</v>
      </c>
      <c r="G82" t="str">
        <v>DOBC18</v>
      </c>
      <c r="H82" t="str">
        <f>IF(ISNUMBER(SEARCH("muf",A82)),"Chêne blanc","Blanc")</f>
        <v>Blanc</v>
      </c>
      <c r="I82" t="str">
        <f>CONCAT(G82,IF(H82="","",IF(H82="Blanc","-CW","-WWO")))</f>
        <v>DOBC18-CW</v>
      </c>
      <c r="J82" t="str">
        <f>IFERROR(VLOOKUP(K82,Categories!$A$2:$C$41,2,FALSE()),"⚠ slug introuvable")</f>
        <v>base-cabinet</v>
      </c>
      <c r="K82" t="str">
        <v>base-cabinet-standard</v>
      </c>
      <c r="L82" t="str">
        <f>IFERROR(VLOOKUP(J82,Categories!$A$2:$C$41,3,FALSE()),"⚠ slug introuvable")</f>
        <v>Armoire du bas</v>
      </c>
      <c r="M82" t="str">
        <f>IFERROR(VLOOKUP(K82,Categories!$A$2:$C$41,3,FALSE()),"⚠ slug introuvable")</f>
        <v>Standard</v>
      </c>
      <c r="N82" t="str">
        <v>Armoire de cuisine du bas avec 1 porte</v>
      </c>
      <c r="O82" t="str">
        <f>CONCAT(N82," (",AA82,""")")</f>
        <v>Armoire de cuisine du bas avec 1 porte (18")</v>
      </c>
      <c r="P82" t="str">
        <f>CONCAT("1 porte"," (",AA82,""")")</f>
        <v>1 porte (18")</v>
      </c>
      <c r="Q82" s="1">
        <v>600</v>
      </c>
      <c r="R82" s="1">
        <f>Q82/11.25</f>
        <v>53.333333333333336</v>
      </c>
      <c r="S82" s="1">
        <f>R82*1.4</f>
        <v>74.66666666666667</v>
      </c>
      <c r="T82" s="1">
        <f>S82*1.1</f>
        <v>82.13333333333334</v>
      </c>
      <c r="U82" s="1">
        <f>T82*1.2</f>
        <v>98.56</v>
      </c>
      <c r="V82" s="1">
        <f>U82*1.2</f>
        <v>118.27199999999999</v>
      </c>
      <c r="W82" s="1">
        <f>V82*1.1</f>
        <v>130.0992</v>
      </c>
      <c r="X82" s="1">
        <f>W82</f>
        <v>130.0992</v>
      </c>
      <c r="Y82" s="2">
        <v>0.4</v>
      </c>
      <c r="Z82" s="1">
        <f>X82*(1+Y82)</f>
        <v>182.13887999999997</v>
      </c>
      <c r="AA82">
        <v>18</v>
      </c>
      <c r="AB82">
        <v>34.5</v>
      </c>
      <c r="AC82">
        <v>24</v>
      </c>
      <c r="AD82">
        <v>1</v>
      </c>
      <c r="AE82">
        <v>0</v>
      </c>
      <c r="AF82" t="str">
        <v>Base kitchen cabinet with 1 door (18")</v>
      </c>
      <c r="AG82" t="str">
        <v>1 door (18")</v>
      </c>
    </row>
    <row r="83" hidden="1">
      <c r="A83" t="str">
        <v>S8-FB18-muf</v>
      </c>
      <c r="E83" t="b">
        <f>IF(OR(B83=TRUE,C83=TRUE,D83=TRUE),FALSE,TRUE)</f>
        <v>1</v>
      </c>
      <c r="G83" t="str">
        <v>DOBC18</v>
      </c>
      <c r="H83" t="str">
        <f>IF(ISNUMBER(SEARCH("muf",A83)),"Chêne blanc","Blanc")</f>
        <v>Chêne blanc</v>
      </c>
      <c r="I83" t="str">
        <f>CONCAT(G83,IF(H83="","",IF(H83="Blanc","-CW","-WWO")))</f>
        <v>DOBC18-WWO</v>
      </c>
      <c r="J83" t="str">
        <f>IFERROR(VLOOKUP(K83,Categories!$A$2:$C$41,2,FALSE()),"⚠ slug introuvable")</f>
        <v>base-cabinet</v>
      </c>
      <c r="K83" t="str">
        <v>base-cabinet-standard</v>
      </c>
      <c r="L83" t="str">
        <f>IFERROR(VLOOKUP(J83,Categories!$A$2:$C$41,3,FALSE()),"⚠ slug introuvable")</f>
        <v>Armoire du bas</v>
      </c>
      <c r="M83" t="str">
        <f>IFERROR(VLOOKUP(K83,Categories!$A$2:$C$41,3,FALSE()),"⚠ slug introuvable")</f>
        <v>Standard</v>
      </c>
      <c r="N83" t="str">
        <v>Armoire de cuisine du bas avec 1 porte</v>
      </c>
      <c r="O83" t="str">
        <f>CONCAT(N83," (",AA83,""")")</f>
        <v>Armoire de cuisine du bas avec 1 porte (18")</v>
      </c>
      <c r="P83" t="str">
        <f>CONCAT("1 porte"," (",AA83,""")")</f>
        <v>1 porte (18")</v>
      </c>
      <c r="Q83" s="1">
        <v>725.18</v>
      </c>
      <c r="R83" s="1">
        <f>Q83/11.25</f>
        <v>64.46044444444443</v>
      </c>
      <c r="S83" s="1">
        <f>R83*1.4</f>
        <v>90.2446222222222</v>
      </c>
      <c r="T83" s="1">
        <f>S83*1.1</f>
        <v>99.26908444444443</v>
      </c>
      <c r="U83" s="1">
        <f>T83*1.2</f>
        <v>119.12290133333332</v>
      </c>
      <c r="V83" s="1">
        <f>U83*1.2</f>
        <v>142.94748159999997</v>
      </c>
      <c r="W83" s="1">
        <f>V83*1.1</f>
        <v>157.24222976</v>
      </c>
      <c r="X83" s="1">
        <f>W83</f>
        <v>157.24222976</v>
      </c>
      <c r="Y83" s="2">
        <v>0.4</v>
      </c>
      <c r="Z83" s="1">
        <f>X83*(1+Y83)</f>
        <v>220.13912166399996</v>
      </c>
      <c r="AA83">
        <v>18</v>
      </c>
      <c r="AB83">
        <v>34.5</v>
      </c>
      <c r="AC83">
        <v>24</v>
      </c>
      <c r="AD83">
        <v>1</v>
      </c>
      <c r="AE83">
        <v>0</v>
      </c>
      <c r="AF83" t="str">
        <v>Base kitchen cabinet with 1 door (18")</v>
      </c>
      <c r="AG83" t="str">
        <v>1 door (18")</v>
      </c>
    </row>
    <row r="84" hidden="1">
      <c r="A84" t="str">
        <v>S8-FB21</v>
      </c>
      <c r="E84" t="b">
        <f>IF(OR(B84=TRUE,C84=TRUE,D84=TRUE),FALSE,TRUE)</f>
        <v>1</v>
      </c>
      <c r="G84" t="str">
        <v>DOBC21</v>
      </c>
      <c r="H84" t="str">
        <f>IF(ISNUMBER(SEARCH("muf",A84)),"Chêne blanc","Blanc")</f>
        <v>Blanc</v>
      </c>
      <c r="I84" t="str">
        <f>CONCAT(G84,IF(H84="","",IF(H84="Blanc","-CW","-WWO")))</f>
        <v>DOBC21-CW</v>
      </c>
      <c r="J84" t="str">
        <f>IFERROR(VLOOKUP(K84,Categories!$A$2:$C$41,2,FALSE()),"⚠ slug introuvable")</f>
        <v>base-cabinet</v>
      </c>
      <c r="K84" t="str">
        <v>base-cabinet-standard</v>
      </c>
      <c r="L84" t="str">
        <f>IFERROR(VLOOKUP(J84,Categories!$A$2:$C$41,3,FALSE()),"⚠ slug introuvable")</f>
        <v>Armoire du bas</v>
      </c>
      <c r="M84" t="str">
        <f>IFERROR(VLOOKUP(K84,Categories!$A$2:$C$41,3,FALSE()),"⚠ slug introuvable")</f>
        <v>Standard</v>
      </c>
      <c r="N84" t="str">
        <v>Armoire de cuisine du bas avec 1 porte</v>
      </c>
      <c r="O84" t="str">
        <f>CONCAT(N84," (",AA84,""")")</f>
        <v>Armoire de cuisine du bas avec 1 porte (21")</v>
      </c>
      <c r="P84" t="str">
        <f>CONCAT("1 porte"," (",AA84,""")")</f>
        <v>1 porte (21")</v>
      </c>
      <c r="Q84" s="1">
        <v>655</v>
      </c>
      <c r="R84" s="1">
        <f>Q84/11.25</f>
        <v>58.22222222222222</v>
      </c>
      <c r="S84" s="1">
        <f>R84*1.4</f>
        <v>81.5111111111111</v>
      </c>
      <c r="T84" s="1">
        <f>S84*1.1</f>
        <v>89.66222222222223</v>
      </c>
      <c r="U84" s="1">
        <f>T84*1.2</f>
        <v>107.59466666666667</v>
      </c>
      <c r="V84" s="1">
        <f>U84*1.2</f>
        <v>129.1136</v>
      </c>
      <c r="W84" s="1">
        <f>V84*1.1</f>
        <v>142.02496</v>
      </c>
      <c r="X84" s="1">
        <f>W84</f>
        <v>142.02496</v>
      </c>
      <c r="Y84" s="2">
        <v>0.4</v>
      </c>
      <c r="Z84" s="1">
        <f>X84*(1+Y84)</f>
        <v>198.83494399999998</v>
      </c>
      <c r="AA84">
        <v>21</v>
      </c>
      <c r="AB84">
        <v>34.5</v>
      </c>
      <c r="AC84">
        <v>24</v>
      </c>
      <c r="AD84">
        <v>1</v>
      </c>
      <c r="AE84">
        <v>0</v>
      </c>
      <c r="AF84" t="str">
        <v>Base kitchen cabinet with 1 door (21")</v>
      </c>
      <c r="AG84" t="str">
        <v>1 door (21")</v>
      </c>
    </row>
    <row r="85" hidden="1">
      <c r="A85" t="str">
        <v>S8-FB21-muf</v>
      </c>
      <c r="E85" t="b">
        <f>IF(OR(B85=TRUE,C85=TRUE,D85=TRUE),FALSE,TRUE)</f>
        <v>1</v>
      </c>
      <c r="G85" t="str">
        <v>DOBC21</v>
      </c>
      <c r="H85" t="str">
        <f>IF(ISNUMBER(SEARCH("muf",A85)),"Chêne blanc","Blanc")</f>
        <v>Chêne blanc</v>
      </c>
      <c r="I85" t="str">
        <f>CONCAT(G85,IF(H85="","",IF(H85="Blanc","-CW","-WWO")))</f>
        <v>DOBC21-WWO</v>
      </c>
      <c r="J85" t="str">
        <f>IFERROR(VLOOKUP(K85,Categories!$A$2:$C$41,2,FALSE()),"⚠ slug introuvable")</f>
        <v>base-cabinet</v>
      </c>
      <c r="K85" t="str">
        <v>base-cabinet-standard</v>
      </c>
      <c r="L85" t="str">
        <f>IFERROR(VLOOKUP(J85,Categories!$A$2:$C$41,3,FALSE()),"⚠ slug introuvable")</f>
        <v>Armoire du bas</v>
      </c>
      <c r="M85" t="str">
        <f>IFERROR(VLOOKUP(K85,Categories!$A$2:$C$41,3,FALSE()),"⚠ slug introuvable")</f>
        <v>Standard</v>
      </c>
      <c r="N85" t="str">
        <v>Armoire de cuisine du bas avec 1 porte</v>
      </c>
      <c r="O85" t="str">
        <f>CONCAT(N85," (",AA85,""")")</f>
        <v>Armoire de cuisine du bas avec 1 porte (21")</v>
      </c>
      <c r="P85" t="str">
        <f>CONCAT("1 porte"," (",AA85,""")")</f>
        <v>1 porte (21")</v>
      </c>
      <c r="Q85" s="1">
        <v>798.41</v>
      </c>
      <c r="R85" s="1">
        <f>Q85/11.25</f>
        <v>70.96977777777778</v>
      </c>
      <c r="S85" s="1">
        <f>R85*1.4</f>
        <v>99.35768888888889</v>
      </c>
      <c r="T85" s="1">
        <f>S85*1.1</f>
        <v>109.29345777777779</v>
      </c>
      <c r="U85" s="1">
        <f>T85*1.2</f>
        <v>131.15214933333334</v>
      </c>
      <c r="V85" s="1">
        <f>U85*1.2</f>
        <v>157.3825792</v>
      </c>
      <c r="W85" s="1">
        <f>V85*1.1</f>
        <v>173.12083712000003</v>
      </c>
      <c r="X85" s="1">
        <f>W85</f>
        <v>173.12083712000003</v>
      </c>
      <c r="Y85" s="2">
        <v>0.4</v>
      </c>
      <c r="Z85" s="1">
        <f>X85*(1+Y85)</f>
        <v>242.36917196800002</v>
      </c>
      <c r="AA85">
        <v>21</v>
      </c>
      <c r="AB85">
        <v>34.5</v>
      </c>
      <c r="AC85">
        <v>24</v>
      </c>
      <c r="AD85">
        <v>1</v>
      </c>
      <c r="AE85">
        <v>0</v>
      </c>
      <c r="AF85" t="str">
        <v>Base kitchen cabinet with 1 door (21")</v>
      </c>
      <c r="AG85" t="str">
        <v>1 door (21")</v>
      </c>
    </row>
    <row r="86" hidden="1">
      <c r="A86" t="str">
        <v>S8-FB24</v>
      </c>
      <c r="E86" t="b">
        <f>IF(OR(B86=TRUE,C86=TRUE,D86=TRUE),FALSE,TRUE)</f>
        <v>1</v>
      </c>
      <c r="G86" t="str">
        <v>DOBC24</v>
      </c>
      <c r="H86" t="str">
        <f>IF(ISNUMBER(SEARCH("muf",A86)),"Chêne blanc","Blanc")</f>
        <v>Blanc</v>
      </c>
      <c r="I86" t="str">
        <f>CONCAT(G86,IF(H86="","",IF(H86="Blanc","-CW","-WWO")))</f>
        <v>DOBC24-CW</v>
      </c>
      <c r="J86" t="str">
        <f>IFERROR(VLOOKUP(K86,Categories!$A$2:$C$41,2,FALSE()),"⚠ slug introuvable")</f>
        <v>base-cabinet</v>
      </c>
      <c r="K86" t="str">
        <v>base-cabinet-standard</v>
      </c>
      <c r="L86" t="str">
        <f>IFERROR(VLOOKUP(J86,Categories!$A$2:$C$41,3,FALSE()),"⚠ slug introuvable")</f>
        <v>Armoire du bas</v>
      </c>
      <c r="M86" t="str">
        <f>IFERROR(VLOOKUP(K86,Categories!$A$2:$C$41,3,FALSE()),"⚠ slug introuvable")</f>
        <v>Standard</v>
      </c>
      <c r="N86" t="str">
        <v>Armoire de cuisine du bas avec 2 portes</v>
      </c>
      <c r="O86" t="str">
        <f>CONCAT(N86," (",AA86,""")")</f>
        <v>Armoire de cuisine du bas avec 2 portes (24")</v>
      </c>
      <c r="P86" t="str">
        <f>CONCAT("2 portes"," (",AA86,""")")</f>
        <v>2 portes (24")</v>
      </c>
      <c r="Q86" s="1">
        <v>730</v>
      </c>
      <c r="R86" s="1">
        <f>Q86/11.25</f>
        <v>64.88888888888889</v>
      </c>
      <c r="S86" s="1">
        <f>R86*1.4</f>
        <v>90.84444444444443</v>
      </c>
      <c r="T86" s="1">
        <f>S86*1.1</f>
        <v>99.92888888888889</v>
      </c>
      <c r="U86" s="1">
        <f>T86*1.2</f>
        <v>119.91466666666666</v>
      </c>
      <c r="V86" s="1">
        <f>U86*1.2</f>
        <v>143.89759999999998</v>
      </c>
      <c r="W86" s="1">
        <f>V86*1.1</f>
        <v>158.28736</v>
      </c>
      <c r="X86" s="1">
        <f>W86</f>
        <v>158.28736</v>
      </c>
      <c r="Y86" s="2">
        <v>0.4</v>
      </c>
      <c r="Z86" s="1">
        <f>X86*(1+Y86)</f>
        <v>221.602304</v>
      </c>
      <c r="AA86">
        <v>24</v>
      </c>
      <c r="AB86">
        <v>34.5</v>
      </c>
      <c r="AC86">
        <v>24</v>
      </c>
      <c r="AD86">
        <v>2</v>
      </c>
      <c r="AE86">
        <v>0</v>
      </c>
      <c r="AF86" t="str">
        <v>Base kitchen cabinet with 2 doors (24")</v>
      </c>
      <c r="AG86" t="str">
        <v>2 doors (24")</v>
      </c>
    </row>
    <row r="87" hidden="1">
      <c r="A87" t="str">
        <v>S8-FB24-muf</v>
      </c>
      <c r="E87" t="b">
        <f>IF(OR(B87=TRUE,C87=TRUE,D87=TRUE),FALSE,TRUE)</f>
        <v>1</v>
      </c>
      <c r="G87" t="str">
        <v>DOBC24</v>
      </c>
      <c r="H87" t="str">
        <f>IF(ISNUMBER(SEARCH("muf",A87)),"Chêne blanc","Blanc")</f>
        <v>Chêne blanc</v>
      </c>
      <c r="I87" t="str">
        <f>CONCAT(G87,IF(H87="","",IF(H87="Blanc","-CW","-WWO")))</f>
        <v>DOBC24-WWO</v>
      </c>
      <c r="J87" t="str">
        <f>IFERROR(VLOOKUP(K87,Categories!$A$2:$C$41,2,FALSE()),"⚠ slug introuvable")</f>
        <v>base-cabinet</v>
      </c>
      <c r="K87" t="str">
        <v>base-cabinet-standard</v>
      </c>
      <c r="L87" t="str">
        <f>IFERROR(VLOOKUP(J87,Categories!$A$2:$C$41,3,FALSE()),"⚠ slug introuvable")</f>
        <v>Armoire du bas</v>
      </c>
      <c r="M87" t="str">
        <f>IFERROR(VLOOKUP(K87,Categories!$A$2:$C$41,3,FALSE()),"⚠ slug introuvable")</f>
        <v>Standard</v>
      </c>
      <c r="N87" t="str">
        <v>Armoire de cuisine du bas avec 2 portes</v>
      </c>
      <c r="O87" t="str">
        <f>CONCAT(N87," (",AA87,""")")</f>
        <v>Armoire de cuisine du bas avec 2 portes (24")</v>
      </c>
      <c r="P87" t="str">
        <f>CONCAT("2 portes"," (",AA87,""")")</f>
        <v>2 portes (24")</v>
      </c>
      <c r="Q87" s="1">
        <v>889.31</v>
      </c>
      <c r="R87" s="1">
        <f>Q87/11.25</f>
        <v>79.04977777777778</v>
      </c>
      <c r="S87" s="1">
        <f>R87*1.4</f>
        <v>110.66968888888889</v>
      </c>
      <c r="T87" s="1">
        <f>S87*1.1</f>
        <v>121.73665777777778</v>
      </c>
      <c r="U87" s="1">
        <f>T87*1.2</f>
        <v>146.08398933333334</v>
      </c>
      <c r="V87" s="1">
        <f>U87*1.2</f>
        <v>175.3007872</v>
      </c>
      <c r="W87" s="1">
        <f>V87*1.1</f>
        <v>192.83086592</v>
      </c>
      <c r="X87" s="1">
        <f>W87</f>
        <v>192.83086592</v>
      </c>
      <c r="Y87" s="2">
        <v>0.4</v>
      </c>
      <c r="Z87" s="1">
        <f>X87*(1+Y87)</f>
        <v>269.96321228799997</v>
      </c>
      <c r="AA87">
        <v>24</v>
      </c>
      <c r="AB87">
        <v>34.5</v>
      </c>
      <c r="AC87">
        <v>24</v>
      </c>
      <c r="AD87">
        <v>2</v>
      </c>
      <c r="AE87">
        <v>0</v>
      </c>
      <c r="AF87" t="str">
        <v>Base kitchen cabinet with 2 doors (24")</v>
      </c>
      <c r="AG87" t="str">
        <v>2 doors (24")</v>
      </c>
    </row>
    <row r="88" hidden="1">
      <c r="A88" t="str">
        <v>S8-FB27</v>
      </c>
      <c r="E88" t="b">
        <f>IF(OR(B88=TRUE,C88=TRUE,D88=TRUE),FALSE,TRUE)</f>
        <v>1</v>
      </c>
      <c r="G88" t="str">
        <v>DOBC27</v>
      </c>
      <c r="H88" t="str">
        <f>IF(ISNUMBER(SEARCH("muf",A88)),"Chêne blanc","Blanc")</f>
        <v>Blanc</v>
      </c>
      <c r="I88" t="str">
        <f>CONCAT(G88,IF(H88="","",IF(H88="Blanc","-CW","-WWO")))</f>
        <v>DOBC27-CW</v>
      </c>
      <c r="J88" t="str">
        <f>IFERROR(VLOOKUP(K88,Categories!$A$2:$C$41,2,FALSE()),"⚠ slug introuvable")</f>
        <v>base-cabinet</v>
      </c>
      <c r="K88" t="str">
        <v>base-cabinet-standard</v>
      </c>
      <c r="L88" t="str">
        <f>IFERROR(VLOOKUP(J88,Categories!$A$2:$C$41,3,FALSE()),"⚠ slug introuvable")</f>
        <v>Armoire du bas</v>
      </c>
      <c r="M88" t="str">
        <f>IFERROR(VLOOKUP(K88,Categories!$A$2:$C$41,3,FALSE()),"⚠ slug introuvable")</f>
        <v>Standard</v>
      </c>
      <c r="N88" t="str">
        <v>Armoire de cuisine du bas avec 2 portes</v>
      </c>
      <c r="O88" t="str">
        <f>CONCAT(N88," (",AA88,""")")</f>
        <v>Armoire de cuisine du bas avec 2 portes (27")</v>
      </c>
      <c r="P88" t="str">
        <f>CONCAT("2 portes"," (",AA88,""")")</f>
        <v>2 portes (27")</v>
      </c>
      <c r="Q88" s="1">
        <v>782</v>
      </c>
      <c r="R88" s="1">
        <f>Q88/11.25</f>
        <v>69.5111111111111</v>
      </c>
      <c r="S88" s="1">
        <f>R88*1.4</f>
        <v>97.31555555555555</v>
      </c>
      <c r="T88" s="1">
        <f>S88*1.1</f>
        <v>107.04711111111111</v>
      </c>
      <c r="U88" s="1">
        <f>T88*1.2</f>
        <v>128.4565333333333</v>
      </c>
      <c r="V88" s="1">
        <f>U88*1.2</f>
        <v>154.14783999999997</v>
      </c>
      <c r="W88" s="1">
        <f>V88*1.1</f>
        <v>169.56262399999997</v>
      </c>
      <c r="X88" s="1">
        <f>W88</f>
        <v>169.56262399999997</v>
      </c>
      <c r="Y88" s="2">
        <v>0.4</v>
      </c>
      <c r="Z88" s="1">
        <f>X88*(1+Y88)</f>
        <v>237.38767359999994</v>
      </c>
      <c r="AA88">
        <v>27</v>
      </c>
      <c r="AB88">
        <v>34.5</v>
      </c>
      <c r="AC88">
        <v>24</v>
      </c>
      <c r="AD88">
        <v>2</v>
      </c>
      <c r="AE88">
        <v>0</v>
      </c>
      <c r="AF88" t="str">
        <v>Base kitchen cabinet with 2 doors (27")</v>
      </c>
      <c r="AG88" t="str">
        <v>2 doors (27")</v>
      </c>
    </row>
    <row r="89" hidden="1">
      <c r="A89" t="str">
        <v>S8-FB27-muf</v>
      </c>
      <c r="E89" t="b">
        <f>IF(OR(B89=TRUE,C89=TRUE,D89=TRUE),FALSE,TRUE)</f>
        <v>1</v>
      </c>
      <c r="G89" t="str">
        <v>DOBC27</v>
      </c>
      <c r="H89" t="str">
        <f>IF(ISNUMBER(SEARCH("muf",A89)),"Chêne blanc","Blanc")</f>
        <v>Chêne blanc</v>
      </c>
      <c r="I89" t="str">
        <f>CONCAT(G89,IF(H89="","",IF(H89="Blanc","-CW","-WWO")))</f>
        <v>DOBC27-WWO</v>
      </c>
      <c r="J89" t="str">
        <f>IFERROR(VLOOKUP(K89,Categories!$A$2:$C$41,2,FALSE()),"⚠ slug introuvable")</f>
        <v>base-cabinet</v>
      </c>
      <c r="K89" t="str">
        <v>base-cabinet-standard</v>
      </c>
      <c r="L89" t="str">
        <f>IFERROR(VLOOKUP(J89,Categories!$A$2:$C$41,3,FALSE()),"⚠ slug introuvable")</f>
        <v>Armoire du bas</v>
      </c>
      <c r="M89" t="str">
        <f>IFERROR(VLOOKUP(K89,Categories!$A$2:$C$41,3,FALSE()),"⚠ slug introuvable")</f>
        <v>Standard</v>
      </c>
      <c r="N89" t="str">
        <v>Armoire de cuisine du bas avec 2 portes</v>
      </c>
      <c r="O89" t="str">
        <f>CONCAT(N89," (",AA89,""")")</f>
        <v>Armoire de cuisine du bas avec 2 portes (27")</v>
      </c>
      <c r="P89" t="str">
        <f>CONCAT("2 portes"," (",AA89,""")")</f>
        <v>2 portes (27")</v>
      </c>
      <c r="Q89" s="1">
        <v>956.59</v>
      </c>
      <c r="R89" s="1">
        <f>Q89/11.25</f>
        <v>85.03022222222222</v>
      </c>
      <c r="S89" s="1">
        <f>R89*1.4</f>
        <v>119.0423111111111</v>
      </c>
      <c r="T89" s="1">
        <f>S89*1.1</f>
        <v>130.94654222222223</v>
      </c>
      <c r="U89" s="1">
        <f>T89*1.2</f>
        <v>157.13585066666667</v>
      </c>
      <c r="V89" s="1">
        <f>U89*1.2</f>
        <v>188.5630208</v>
      </c>
      <c r="W89" s="1">
        <f>V89*1.1</f>
        <v>207.41932288</v>
      </c>
      <c r="X89" s="1">
        <f>W89</f>
        <v>207.41932288</v>
      </c>
      <c r="Y89" s="2">
        <v>0.4</v>
      </c>
      <c r="Z89" s="1">
        <f>X89*(1+Y89)</f>
        <v>290.387052032</v>
      </c>
      <c r="AA89">
        <v>27</v>
      </c>
      <c r="AB89">
        <v>34.5</v>
      </c>
      <c r="AC89">
        <v>24</v>
      </c>
      <c r="AD89">
        <v>2</v>
      </c>
      <c r="AE89">
        <v>0</v>
      </c>
      <c r="AF89" t="str">
        <v>Base kitchen cabinet with 2 doors (27")</v>
      </c>
      <c r="AG89" t="str">
        <v>2 doors (27")</v>
      </c>
    </row>
    <row r="90" hidden="1">
      <c r="A90" t="str">
        <v>S8-FB30</v>
      </c>
      <c r="E90" t="b">
        <f>IF(OR(B90=TRUE,C90=TRUE,D90=TRUE),FALSE,TRUE)</f>
        <v>1</v>
      </c>
      <c r="G90" t="str">
        <v>DOBC30</v>
      </c>
      <c r="H90" t="str">
        <f>IF(ISNUMBER(SEARCH("muf",A90)),"Chêne blanc","Blanc")</f>
        <v>Blanc</v>
      </c>
      <c r="I90" t="str">
        <f>CONCAT(G90,IF(H90="","",IF(H90="Blanc","-CW","-WWO")))</f>
        <v>DOBC30-CW</v>
      </c>
      <c r="J90" t="str">
        <f>IFERROR(VLOOKUP(K90,Categories!$A$2:$C$41,2,FALSE()),"⚠ slug introuvable")</f>
        <v>base-cabinet</v>
      </c>
      <c r="K90" t="str">
        <v>base-cabinet-standard</v>
      </c>
      <c r="L90" t="str">
        <f>IFERROR(VLOOKUP(J90,Categories!$A$2:$C$41,3,FALSE()),"⚠ slug introuvable")</f>
        <v>Armoire du bas</v>
      </c>
      <c r="M90" t="str">
        <f>IFERROR(VLOOKUP(K90,Categories!$A$2:$C$41,3,FALSE()),"⚠ slug introuvable")</f>
        <v>Standard</v>
      </c>
      <c r="N90" t="str">
        <v>Armoire de cuisine du bas avec 2 portes</v>
      </c>
      <c r="O90" t="str">
        <f>CONCAT(N90," (",AA90,""")")</f>
        <v>Armoire de cuisine du bas avec 2 portes (30")</v>
      </c>
      <c r="P90" t="str">
        <f>CONCAT("2 portes"," (",AA90,""")")</f>
        <v>2 portes (30")</v>
      </c>
      <c r="Q90" s="1">
        <v>838</v>
      </c>
      <c r="R90" s="1">
        <f>Q90/11.25</f>
        <v>74.4888888888889</v>
      </c>
      <c r="S90" s="1">
        <f>R90*1.4</f>
        <v>104.28444444444445</v>
      </c>
      <c r="T90" s="1">
        <f>S90*1.1</f>
        <v>114.7128888888889</v>
      </c>
      <c r="U90" s="1">
        <f>T90*1.2</f>
        <v>137.65546666666668</v>
      </c>
      <c r="V90" s="1">
        <f>U90*1.2</f>
        <v>165.18656000000001</v>
      </c>
      <c r="W90" s="1">
        <f>V90*1.1</f>
        <v>181.70521600000004</v>
      </c>
      <c r="X90" s="1">
        <f>W90</f>
        <v>181.70521600000004</v>
      </c>
      <c r="Y90" s="2">
        <v>0.4</v>
      </c>
      <c r="Z90" s="1">
        <f>X90*(1+Y90)</f>
        <v>254.38730240000004</v>
      </c>
      <c r="AA90">
        <v>30</v>
      </c>
      <c r="AB90">
        <v>34.5</v>
      </c>
      <c r="AC90">
        <v>24</v>
      </c>
      <c r="AD90">
        <v>2</v>
      </c>
      <c r="AE90">
        <v>0</v>
      </c>
      <c r="AF90" t="str">
        <v>Base kitchen cabinet with 2 doors (30")</v>
      </c>
      <c r="AG90" t="str">
        <v>2 doors (30")</v>
      </c>
    </row>
    <row r="91" hidden="1">
      <c r="A91" t="str">
        <v>S8-FB30-muf</v>
      </c>
      <c r="E91" t="b">
        <f>IF(OR(B91=TRUE,C91=TRUE,D91=TRUE),FALSE,TRUE)</f>
        <v>1</v>
      </c>
      <c r="G91" t="str">
        <v>DOBC30</v>
      </c>
      <c r="H91" t="str">
        <f>IF(ISNUMBER(SEARCH("muf",A91)),"Chêne blanc","Blanc")</f>
        <v>Chêne blanc</v>
      </c>
      <c r="I91" t="str">
        <f>CONCAT(G91,IF(H91="","",IF(H91="Blanc","-CW","-WWO")))</f>
        <v>DOBC30-WWO</v>
      </c>
      <c r="J91" t="str">
        <f>IFERROR(VLOOKUP(K91,Categories!$A$2:$C$41,2,FALSE()),"⚠ slug introuvable")</f>
        <v>base-cabinet</v>
      </c>
      <c r="K91" t="str">
        <v>base-cabinet-standard</v>
      </c>
      <c r="L91" t="str">
        <f>IFERROR(VLOOKUP(J91,Categories!$A$2:$C$41,3,FALSE()),"⚠ slug introuvable")</f>
        <v>Armoire du bas</v>
      </c>
      <c r="M91" t="str">
        <f>IFERROR(VLOOKUP(K91,Categories!$A$2:$C$41,3,FALSE()),"⚠ slug introuvable")</f>
        <v>Standard</v>
      </c>
      <c r="N91" t="str">
        <v>Armoire de cuisine du bas avec 2 portes</v>
      </c>
      <c r="O91" t="str">
        <f>CONCAT(N91," (",AA91,""")")</f>
        <v>Armoire de cuisine du bas avec 2 portes (30")</v>
      </c>
      <c r="P91" t="str">
        <f>CONCAT("2 portes"," (",AA91,""")")</f>
        <v>2 portes (30")</v>
      </c>
      <c r="Q91" s="1">
        <v>1024.31</v>
      </c>
      <c r="R91" s="1">
        <f>Q91/11.25</f>
        <v>91.04977777777778</v>
      </c>
      <c r="S91" s="1">
        <f>R91*1.4</f>
        <v>127.46968888888888</v>
      </c>
      <c r="T91" s="1">
        <f>S91*1.1</f>
        <v>140.21665777777778</v>
      </c>
      <c r="U91" s="1">
        <f>T91*1.2</f>
        <v>168.25998933333332</v>
      </c>
      <c r="V91" s="1">
        <f>U91*1.2</f>
        <v>201.91198719999997</v>
      </c>
      <c r="W91" s="1">
        <f>V91*1.1</f>
        <v>222.10318592</v>
      </c>
      <c r="X91" s="1">
        <f>W91</f>
        <v>222.10318592</v>
      </c>
      <c r="Y91" s="2">
        <v>0.4</v>
      </c>
      <c r="Z91" s="1">
        <f>X91*(1+Y91)</f>
        <v>310.94446028799996</v>
      </c>
      <c r="AA91">
        <v>30</v>
      </c>
      <c r="AB91">
        <v>34.5</v>
      </c>
      <c r="AC91">
        <v>24</v>
      </c>
      <c r="AD91">
        <v>2</v>
      </c>
      <c r="AE91">
        <v>0</v>
      </c>
      <c r="AF91" t="str">
        <v>Base kitchen cabinet with 2 doors (30")</v>
      </c>
      <c r="AG91" t="str">
        <v>2 doors (30")</v>
      </c>
    </row>
    <row r="92" hidden="1">
      <c r="A92" t="str">
        <v>S8-FB33</v>
      </c>
      <c r="E92" t="b">
        <f>IF(OR(B92=TRUE,C92=TRUE,D92=TRUE),FALSE,TRUE)</f>
        <v>1</v>
      </c>
      <c r="G92" t="str">
        <v>DOBC33</v>
      </c>
      <c r="H92" t="str">
        <f>IF(ISNUMBER(SEARCH("muf",A92)),"Chêne blanc","Blanc")</f>
        <v>Blanc</v>
      </c>
      <c r="I92" t="str">
        <f>CONCAT(G92,IF(H92="","",IF(H92="Blanc","-CW","-WWO")))</f>
        <v>DOBC33-CW</v>
      </c>
      <c r="J92" t="str">
        <f>IFERROR(VLOOKUP(K92,Categories!$A$2:$C$41,2,FALSE()),"⚠ slug introuvable")</f>
        <v>base-cabinet</v>
      </c>
      <c r="K92" t="str">
        <v>base-cabinet-standard</v>
      </c>
      <c r="L92" t="str">
        <f>IFERROR(VLOOKUP(J92,Categories!$A$2:$C$41,3,FALSE()),"⚠ slug introuvable")</f>
        <v>Armoire du bas</v>
      </c>
      <c r="M92" t="str">
        <f>IFERROR(VLOOKUP(K92,Categories!$A$2:$C$41,3,FALSE()),"⚠ slug introuvable")</f>
        <v>Standard</v>
      </c>
      <c r="N92" t="str">
        <v>Armoire de cuisine du bas avec 2 portes</v>
      </c>
      <c r="O92" t="str">
        <f>CONCAT(N92," (",AA92,""")")</f>
        <v>Armoire de cuisine du bas avec 2 portes (33")</v>
      </c>
      <c r="P92" t="str">
        <f>CONCAT("2 portes"," (",AA92,""")")</f>
        <v>2 portes (33")</v>
      </c>
      <c r="Q92" s="1">
        <v>885</v>
      </c>
      <c r="R92" s="1">
        <f>Q92/11.25</f>
        <v>78.66666666666667</v>
      </c>
      <c r="S92" s="1">
        <f>R92*1.4</f>
        <v>110.13333333333334</v>
      </c>
      <c r="T92" s="1">
        <f>S92*1.1</f>
        <v>121.14666666666669</v>
      </c>
      <c r="U92" s="1">
        <f>T92*1.2</f>
        <v>145.37600000000003</v>
      </c>
      <c r="V92" s="1">
        <f>U92*1.2</f>
        <v>174.45120000000003</v>
      </c>
      <c r="W92" s="1">
        <f>V92*1.1</f>
        <v>191.89632000000006</v>
      </c>
      <c r="X92" s="1">
        <f>W92</f>
        <v>191.89632000000006</v>
      </c>
      <c r="Y92" s="2">
        <v>0.4</v>
      </c>
      <c r="Z92" s="1">
        <f>X92*(1+Y92)</f>
        <v>268.6548480000001</v>
      </c>
      <c r="AA92">
        <v>33</v>
      </c>
      <c r="AB92">
        <v>34.5</v>
      </c>
      <c r="AC92">
        <v>24</v>
      </c>
      <c r="AD92">
        <v>2</v>
      </c>
      <c r="AE92">
        <v>0</v>
      </c>
      <c r="AF92" t="str">
        <v>Base kitchen cabinet with 2 doors (33")</v>
      </c>
      <c r="AG92" t="str">
        <v>2 doors (33")</v>
      </c>
    </row>
    <row r="93" hidden="1">
      <c r="A93" t="str">
        <v>S8-FB33-muf</v>
      </c>
      <c r="E93" t="b">
        <f>IF(OR(B93=TRUE,C93=TRUE,D93=TRUE),FALSE,TRUE)</f>
        <v>1</v>
      </c>
      <c r="G93" t="str">
        <v>DOBC33</v>
      </c>
      <c r="H93" t="str">
        <f>IF(ISNUMBER(SEARCH("muf",A93)),"Chêne blanc","Blanc")</f>
        <v>Chêne blanc</v>
      </c>
      <c r="I93" t="str">
        <f>CONCAT(G93,IF(H93="","",IF(H93="Blanc","-CW","-WWO")))</f>
        <v>DOBC33-WWO</v>
      </c>
      <c r="J93" t="str">
        <f>IFERROR(VLOOKUP(K93,Categories!$A$2:$C$41,2,FALSE()),"⚠ slug introuvable")</f>
        <v>base-cabinet</v>
      </c>
      <c r="K93" t="str">
        <v>base-cabinet-standard</v>
      </c>
      <c r="L93" t="str">
        <f>IFERROR(VLOOKUP(J93,Categories!$A$2:$C$41,3,FALSE()),"⚠ slug introuvable")</f>
        <v>Armoire du bas</v>
      </c>
      <c r="M93" t="str">
        <f>IFERROR(VLOOKUP(K93,Categories!$A$2:$C$41,3,FALSE()),"⚠ slug introuvable")</f>
        <v>Standard</v>
      </c>
      <c r="N93" t="str">
        <v>Armoire de cuisine du bas avec 2 portes</v>
      </c>
      <c r="O93" t="str">
        <f>CONCAT(N93," (",AA93,""")")</f>
        <v>Armoire de cuisine du bas avec 2 portes (33")</v>
      </c>
      <c r="P93" t="str">
        <f>CONCAT("2 portes"," (",AA93,""")")</f>
        <v>2 portes (33")</v>
      </c>
      <c r="Q93" s="1">
        <v>1081.8</v>
      </c>
      <c r="R93" s="1">
        <f>Q93/11.25</f>
        <v>96.16</v>
      </c>
      <c r="S93" s="1">
        <f>R93*1.4</f>
        <v>134.624</v>
      </c>
      <c r="T93" s="1">
        <f>S93*1.1</f>
        <v>148.0864</v>
      </c>
      <c r="U93" s="1">
        <f>T93*1.2</f>
        <v>177.70368</v>
      </c>
      <c r="V93" s="1">
        <f>U93*1.2</f>
        <v>213.24441599999997</v>
      </c>
      <c r="W93" s="1">
        <f>V93*1.1</f>
        <v>234.5688576</v>
      </c>
      <c r="X93" s="1">
        <f>W93</f>
        <v>234.5688576</v>
      </c>
      <c r="Y93" s="2">
        <v>0.4</v>
      </c>
      <c r="Z93" s="1">
        <f>X93*(1+Y93)</f>
        <v>328.39640063999997</v>
      </c>
      <c r="AA93">
        <v>33</v>
      </c>
      <c r="AB93">
        <v>34.5</v>
      </c>
      <c r="AC93">
        <v>24</v>
      </c>
      <c r="AD93">
        <v>2</v>
      </c>
      <c r="AE93">
        <v>0</v>
      </c>
      <c r="AF93" t="str">
        <v>Base kitchen cabinet with 2 doors (33")</v>
      </c>
      <c r="AG93" t="str">
        <v>2 doors (33")</v>
      </c>
    </row>
    <row r="94" hidden="1">
      <c r="A94" t="str">
        <v>S8-FB36</v>
      </c>
      <c r="E94" t="b">
        <f>IF(OR(B94=TRUE,C94=TRUE,D94=TRUE),FALSE,TRUE)</f>
        <v>1</v>
      </c>
      <c r="G94" t="str">
        <v>DOBC36</v>
      </c>
      <c r="H94" t="str">
        <f>IF(ISNUMBER(SEARCH("muf",A94)),"Chêne blanc","Blanc")</f>
        <v>Blanc</v>
      </c>
      <c r="I94" t="str">
        <f>CONCAT(G94,IF(H94="","",IF(H94="Blanc","-CW","-WWO")))</f>
        <v>DOBC36-CW</v>
      </c>
      <c r="J94" t="str">
        <f>IFERROR(VLOOKUP(K94,Categories!$A$2:$C$41,2,FALSE()),"⚠ slug introuvable")</f>
        <v>base-cabinet</v>
      </c>
      <c r="K94" t="str">
        <v>base-cabinet-standard</v>
      </c>
      <c r="L94" t="str">
        <f>IFERROR(VLOOKUP(J94,Categories!$A$2:$C$41,3,FALSE()),"⚠ slug introuvable")</f>
        <v>Armoire du bas</v>
      </c>
      <c r="M94" t="str">
        <f>IFERROR(VLOOKUP(K94,Categories!$A$2:$C$41,3,FALSE()),"⚠ slug introuvable")</f>
        <v>Standard</v>
      </c>
      <c r="N94" t="str">
        <v>Armoire de cuisine du bas avec 2 portes</v>
      </c>
      <c r="O94" t="str">
        <f>CONCAT(N94," (",AA94,""")")</f>
        <v>Armoire de cuisine du bas avec 2 portes (36")</v>
      </c>
      <c r="P94" t="str">
        <f>CONCAT("2 portes"," (",AA94,""")")</f>
        <v>2 portes (36")</v>
      </c>
      <c r="Q94" s="1">
        <v>934</v>
      </c>
      <c r="R94" s="1">
        <f>Q94/11.25</f>
        <v>83.02222222222223</v>
      </c>
      <c r="S94" s="1">
        <f>R94*1.4</f>
        <v>116.2311111111111</v>
      </c>
      <c r="T94" s="1">
        <f>S94*1.1</f>
        <v>127.85422222222222</v>
      </c>
      <c r="U94" s="1">
        <f>T94*1.2</f>
        <v>153.42506666666665</v>
      </c>
      <c r="V94" s="1">
        <f>U94*1.2</f>
        <v>184.11007999999998</v>
      </c>
      <c r="W94" s="1">
        <f>V94*1.1</f>
        <v>202.521088</v>
      </c>
      <c r="X94" s="1">
        <f>W94</f>
        <v>202.521088</v>
      </c>
      <c r="Y94" s="2">
        <v>0.4</v>
      </c>
      <c r="Z94" s="1">
        <f>X94*(1+Y94)</f>
        <v>283.52952319999997</v>
      </c>
      <c r="AA94">
        <v>36</v>
      </c>
      <c r="AB94">
        <v>34.5</v>
      </c>
      <c r="AC94">
        <v>24</v>
      </c>
      <c r="AD94">
        <v>2</v>
      </c>
      <c r="AE94">
        <v>0</v>
      </c>
      <c r="AF94" t="str">
        <v>Base kitchen cabinet with 2 doors (36")</v>
      </c>
      <c r="AG94" t="str">
        <v>2 doors (36")</v>
      </c>
    </row>
    <row r="95" hidden="1">
      <c r="A95" t="str">
        <v>S8-FB36-muf</v>
      </c>
      <c r="E95" t="b">
        <f>IF(OR(B95=TRUE,C95=TRUE,D95=TRUE),FALSE,TRUE)</f>
        <v>1</v>
      </c>
      <c r="G95" t="str">
        <v>DOBC36</v>
      </c>
      <c r="H95" t="str">
        <f>IF(ISNUMBER(SEARCH("muf",A95)),"Chêne blanc","Blanc")</f>
        <v>Chêne blanc</v>
      </c>
      <c r="I95" t="str">
        <f>CONCAT(G95,IF(H95="","",IF(H95="Blanc","-CW","-WWO")))</f>
        <v>DOBC36-WWO</v>
      </c>
      <c r="J95" t="str">
        <f>IFERROR(VLOOKUP(K95,Categories!$A$2:$C$41,2,FALSE()),"⚠ slug introuvable")</f>
        <v>base-cabinet</v>
      </c>
      <c r="K95" t="str">
        <v>base-cabinet-standard</v>
      </c>
      <c r="L95" t="str">
        <f>IFERROR(VLOOKUP(J95,Categories!$A$2:$C$41,3,FALSE()),"⚠ slug introuvable")</f>
        <v>Armoire du bas</v>
      </c>
      <c r="M95" t="str">
        <f>IFERROR(VLOOKUP(K95,Categories!$A$2:$C$41,3,FALSE()),"⚠ slug introuvable")</f>
        <v>Standard</v>
      </c>
      <c r="N95" t="str">
        <v>Armoire de cuisine du bas avec 2 portes</v>
      </c>
      <c r="O95" t="str">
        <f>CONCAT(N95," (",AA95,""")")</f>
        <v>Armoire de cuisine du bas avec 2 portes (36")</v>
      </c>
      <c r="P95" t="str">
        <f>CONCAT("2 portes"," (",AA95,""")")</f>
        <v>2 portes (36")</v>
      </c>
      <c r="Q95" s="1">
        <v>1151.89</v>
      </c>
      <c r="R95" s="1">
        <f>Q95/11.25</f>
        <v>102.39022222222223</v>
      </c>
      <c r="S95" s="1">
        <f>R95*1.4</f>
        <v>143.3463111111111</v>
      </c>
      <c r="T95" s="1">
        <f>S95*1.1</f>
        <v>157.68094222222223</v>
      </c>
      <c r="U95" s="1">
        <f>T95*1.2</f>
        <v>189.21713066666666</v>
      </c>
      <c r="V95" s="1">
        <f>U95*1.2</f>
        <v>227.0605568</v>
      </c>
      <c r="W95" s="1">
        <f>V95*1.1</f>
        <v>249.76661248000002</v>
      </c>
      <c r="X95" s="1">
        <f>W95</f>
        <v>249.76661248000002</v>
      </c>
      <c r="Y95" s="2">
        <v>0.4</v>
      </c>
      <c r="Z95" s="1">
        <f>X95*(1+Y95)</f>
        <v>349.673257472</v>
      </c>
      <c r="AA95">
        <v>36</v>
      </c>
      <c r="AB95">
        <v>34.5</v>
      </c>
      <c r="AC95">
        <v>24</v>
      </c>
      <c r="AD95">
        <v>2</v>
      </c>
      <c r="AE95">
        <v>0</v>
      </c>
      <c r="AF95" t="str">
        <v>Base kitchen cabinet with 2 doors (36")</v>
      </c>
      <c r="AG95" t="str">
        <v>2 doors (36")</v>
      </c>
    </row>
    <row r="96" hidden="1">
      <c r="A96" t="str">
        <v>S8-FB39</v>
      </c>
      <c r="E96" t="b">
        <f>IF(OR(B96=TRUE,C96=TRUE,D96=TRUE),FALSE,TRUE)</f>
        <v>1</v>
      </c>
      <c r="G96" t="str">
        <v>DOBC39</v>
      </c>
      <c r="H96" t="str">
        <f>IF(ISNUMBER(SEARCH("muf",A96)),"Chêne blanc","Blanc")</f>
        <v>Blanc</v>
      </c>
      <c r="I96" t="str">
        <f>CONCAT(G96,IF(H96="","",IF(H96="Blanc","-CW","-WWO")))</f>
        <v>DOBC39-CW</v>
      </c>
      <c r="J96" t="str">
        <f>IFERROR(VLOOKUP(K96,Categories!$A$2:$C$41,2,FALSE()),"⚠ slug introuvable")</f>
        <v>base-cabinet</v>
      </c>
      <c r="K96" t="str">
        <v>base-cabinet-standard</v>
      </c>
      <c r="L96" t="str">
        <f>IFERROR(VLOOKUP(J96,Categories!$A$2:$C$41,3,FALSE()),"⚠ slug introuvable")</f>
        <v>Armoire du bas</v>
      </c>
      <c r="M96" t="str">
        <f>IFERROR(VLOOKUP(K96,Categories!$A$2:$C$41,3,FALSE()),"⚠ slug introuvable")</f>
        <v>Standard</v>
      </c>
      <c r="N96" t="str">
        <v>Armoire de cuisine du bas avec 2 portes</v>
      </c>
      <c r="O96" t="str">
        <f>CONCAT(N96," (",AA96,""")")</f>
        <v>Armoire de cuisine du bas avec 2 portes (39")</v>
      </c>
      <c r="P96" t="str">
        <f>CONCAT("2 portes"," (",AA96,""")")</f>
        <v>2 portes (39")</v>
      </c>
      <c r="Q96" s="1">
        <v>991</v>
      </c>
      <c r="R96" s="1">
        <f>Q96/11.25</f>
        <v>88.08888888888889</v>
      </c>
      <c r="S96" s="1">
        <f>R96*1.4</f>
        <v>123.32444444444444</v>
      </c>
      <c r="T96" s="1">
        <f>S96*1.1</f>
        <v>135.6568888888889</v>
      </c>
      <c r="U96" s="1">
        <f>T96*1.2</f>
        <v>162.78826666666666</v>
      </c>
      <c r="V96" s="1">
        <f>U96*1.2</f>
        <v>195.34591999999998</v>
      </c>
      <c r="W96" s="1">
        <f>V96*1.1</f>
        <v>214.88051199999998</v>
      </c>
      <c r="X96" s="1">
        <f>W96</f>
        <v>214.88051199999998</v>
      </c>
      <c r="Y96" s="2">
        <v>0.4</v>
      </c>
      <c r="Z96" s="1">
        <f>X96*(1+Y96)</f>
        <v>300.83271679999996</v>
      </c>
      <c r="AA96">
        <v>39</v>
      </c>
      <c r="AB96">
        <v>34.5</v>
      </c>
      <c r="AC96">
        <v>24</v>
      </c>
      <c r="AD96">
        <v>2</v>
      </c>
      <c r="AE96">
        <v>0</v>
      </c>
      <c r="AF96" t="str">
        <v>Base kitchen cabinet with 2 doors (39")</v>
      </c>
      <c r="AG96" t="str">
        <v>2 doors (39")</v>
      </c>
    </row>
    <row r="97" hidden="1">
      <c r="A97" t="str">
        <v>S8-FB39-muf</v>
      </c>
      <c r="E97" t="b">
        <f>IF(OR(B97=TRUE,C97=TRUE,D97=TRUE),FALSE,TRUE)</f>
        <v>1</v>
      </c>
      <c r="G97" t="str">
        <v>DOBC39</v>
      </c>
      <c r="H97" t="str">
        <f>IF(ISNUMBER(SEARCH("muf",A97)),"Chêne blanc","Blanc")</f>
        <v>Chêne blanc</v>
      </c>
      <c r="I97" t="str">
        <f>CONCAT(G97,IF(H97="","",IF(H97="Blanc","-CW","-WWO")))</f>
        <v>DOBC39-WWO</v>
      </c>
      <c r="J97" t="str">
        <f>IFERROR(VLOOKUP(K97,Categories!$A$2:$C$41,2,FALSE()),"⚠ slug introuvable")</f>
        <v>base-cabinet</v>
      </c>
      <c r="K97" t="str">
        <v>base-cabinet-standard</v>
      </c>
      <c r="L97" t="str">
        <f>IFERROR(VLOOKUP(J97,Categories!$A$2:$C$41,3,FALSE()),"⚠ slug introuvable")</f>
        <v>Armoire du bas</v>
      </c>
      <c r="M97" t="str">
        <f>IFERROR(VLOOKUP(K97,Categories!$A$2:$C$41,3,FALSE()),"⚠ slug introuvable")</f>
        <v>Standard</v>
      </c>
      <c r="N97" t="str">
        <v>Armoire de cuisine du bas avec 2 portes</v>
      </c>
      <c r="O97" t="str">
        <f>CONCAT(N97," (",AA97,""")")</f>
        <v>Armoire de cuisine du bas avec 2 portes (39")</v>
      </c>
      <c r="P97" t="str">
        <f>CONCAT("2 portes"," (",AA97,""")")</f>
        <v>2 portes (39")</v>
      </c>
      <c r="Q97" s="1">
        <v>1226.48</v>
      </c>
      <c r="R97" s="1">
        <f>Q97/11.25</f>
        <v>109.02044444444445</v>
      </c>
      <c r="S97" s="1">
        <f>R97*1.4</f>
        <v>152.62862222222222</v>
      </c>
      <c r="T97" s="1">
        <f>S97*1.1</f>
        <v>167.89148444444444</v>
      </c>
      <c r="U97" s="1">
        <f>T97*1.2</f>
        <v>201.46978133333332</v>
      </c>
      <c r="V97" s="1">
        <f>U97*1.2</f>
        <v>241.76373759999996</v>
      </c>
      <c r="W97" s="1">
        <f>V97*1.1</f>
        <v>265.94011135999995</v>
      </c>
      <c r="X97" s="1">
        <f>W97</f>
        <v>265.94011135999995</v>
      </c>
      <c r="Y97" s="2">
        <v>0.4</v>
      </c>
      <c r="Z97" s="1">
        <f>X97*(1+Y97)</f>
        <v>372.3161559039999</v>
      </c>
      <c r="AA97">
        <v>39</v>
      </c>
      <c r="AB97">
        <v>34.5</v>
      </c>
      <c r="AC97">
        <v>24</v>
      </c>
      <c r="AD97">
        <v>2</v>
      </c>
      <c r="AE97">
        <v>0</v>
      </c>
      <c r="AF97" t="str">
        <v>Base kitchen cabinet with 2 doors (39")</v>
      </c>
      <c r="AG97" t="str">
        <v>2 doors (39")</v>
      </c>
    </row>
    <row r="98" hidden="1">
      <c r="A98" t="str">
        <v>S8-FB42</v>
      </c>
      <c r="E98" t="b">
        <f>IF(OR(B98=TRUE,C98=TRUE,D98=TRUE),FALSE,TRUE)</f>
        <v>1</v>
      </c>
      <c r="G98" t="str">
        <v>DOBC42</v>
      </c>
      <c r="H98" t="str">
        <f>IF(ISNUMBER(SEARCH("muf",A98)),"Chêne blanc","Blanc")</f>
        <v>Blanc</v>
      </c>
      <c r="I98" t="str">
        <f>CONCAT(G98,IF(H98="","",IF(H98="Blanc","-CW","-WWO")))</f>
        <v>DOBC42-CW</v>
      </c>
      <c r="J98" t="str">
        <f>IFERROR(VLOOKUP(K98,Categories!$A$2:$C$41,2,FALSE()),"⚠ slug introuvable")</f>
        <v>base-cabinet</v>
      </c>
      <c r="K98" t="str">
        <v>base-cabinet-standard</v>
      </c>
      <c r="L98" t="str">
        <f>IFERROR(VLOOKUP(J98,Categories!$A$2:$C$41,3,FALSE()),"⚠ slug introuvable")</f>
        <v>Armoire du bas</v>
      </c>
      <c r="M98" t="str">
        <f>IFERROR(VLOOKUP(K98,Categories!$A$2:$C$41,3,FALSE()),"⚠ slug introuvable")</f>
        <v>Standard</v>
      </c>
      <c r="N98" t="str">
        <v>Armoire de cuisine du bas avec 2 portes</v>
      </c>
      <c r="O98" t="str">
        <f>CONCAT(N98," (",AA98,""")")</f>
        <v>Armoire de cuisine du bas avec 2 portes (42")</v>
      </c>
      <c r="P98" t="str">
        <f>CONCAT("2 portes"," (",AA98,""")")</f>
        <v>2 portes (42")</v>
      </c>
      <c r="Q98" s="1">
        <v>1018</v>
      </c>
      <c r="R98" s="1">
        <f>Q98/11.25</f>
        <v>90.4888888888889</v>
      </c>
      <c r="S98" s="1">
        <f>R98*1.4</f>
        <v>126.68444444444444</v>
      </c>
      <c r="T98" s="1">
        <f>S98*1.1</f>
        <v>139.35288888888888</v>
      </c>
      <c r="U98" s="1">
        <f>T98*1.2</f>
        <v>167.22346666666667</v>
      </c>
      <c r="V98" s="1">
        <f>U98*1.2</f>
        <v>200.66816</v>
      </c>
      <c r="W98" s="1">
        <f>V98*1.1</f>
        <v>220.73497600000002</v>
      </c>
      <c r="X98" s="1">
        <f>W98</f>
        <v>220.73497600000002</v>
      </c>
      <c r="Y98" s="2">
        <v>0.4</v>
      </c>
      <c r="Z98" s="1">
        <f>X98*(1+Y98)</f>
        <v>309.0289664</v>
      </c>
      <c r="AA98">
        <v>42</v>
      </c>
      <c r="AB98">
        <v>34.5</v>
      </c>
      <c r="AC98">
        <v>24</v>
      </c>
      <c r="AD98">
        <v>2</v>
      </c>
      <c r="AE98">
        <v>0</v>
      </c>
      <c r="AF98" t="str">
        <v>Base kitchen cabinet with 2 doors (42")</v>
      </c>
      <c r="AG98" t="str">
        <v>2 doors (42")</v>
      </c>
    </row>
    <row r="99" hidden="1">
      <c r="A99" t="str">
        <v>S8-FB42-muf</v>
      </c>
      <c r="E99" t="b">
        <f>IF(OR(B99=TRUE,C99=TRUE,D99=TRUE),FALSE,TRUE)</f>
        <v>1</v>
      </c>
      <c r="G99" t="str">
        <v>DOBC42</v>
      </c>
      <c r="H99" t="str">
        <f>IF(ISNUMBER(SEARCH("muf",A99)),"Chêne blanc","Blanc")</f>
        <v>Chêne blanc</v>
      </c>
      <c r="I99" t="str">
        <f>CONCAT(G99,IF(H99="","",IF(H99="Blanc","-CW","-WWO")))</f>
        <v>DOBC42-WWO</v>
      </c>
      <c r="J99" t="str">
        <f>IFERROR(VLOOKUP(K99,Categories!$A$2:$C$41,2,FALSE()),"⚠ slug introuvable")</f>
        <v>base-cabinet</v>
      </c>
      <c r="K99" t="str">
        <v>base-cabinet-standard</v>
      </c>
      <c r="L99" t="str">
        <f>IFERROR(VLOOKUP(J99,Categories!$A$2:$C$41,3,FALSE()),"⚠ slug introuvable")</f>
        <v>Armoire du bas</v>
      </c>
      <c r="M99" t="str">
        <f>IFERROR(VLOOKUP(K99,Categories!$A$2:$C$41,3,FALSE()),"⚠ slug introuvable")</f>
        <v>Standard</v>
      </c>
      <c r="N99" t="str">
        <v>Armoire de cuisine du bas avec 2 portes</v>
      </c>
      <c r="O99" t="str">
        <f>CONCAT(N99," (",AA99,""")")</f>
        <v>Armoire de cuisine du bas avec 2 portes (42")</v>
      </c>
      <c r="P99" t="str">
        <f>CONCAT("2 portes"," (",AA99,""")")</f>
        <v>2 portes (42")</v>
      </c>
      <c r="Q99" s="1">
        <v>1260.23</v>
      </c>
      <c r="R99" s="1">
        <f>Q99/11.25</f>
        <v>112.02044444444445</v>
      </c>
      <c r="S99" s="1">
        <f>R99*1.4</f>
        <v>156.8286222222222</v>
      </c>
      <c r="T99" s="1">
        <f>S99*1.1</f>
        <v>172.51148444444445</v>
      </c>
      <c r="U99" s="1">
        <f>T99*1.2</f>
        <v>207.01378133333333</v>
      </c>
      <c r="V99" s="1">
        <f>U99*1.2</f>
        <v>248.41653759999997</v>
      </c>
      <c r="W99" s="1">
        <f>V99*1.1</f>
        <v>273.25819136</v>
      </c>
      <c r="X99" s="1">
        <f>W99</f>
        <v>273.25819136</v>
      </c>
      <c r="Y99" s="2">
        <v>0.4</v>
      </c>
      <c r="Z99" s="1">
        <f>X99*(1+Y99)</f>
        <v>382.561467904</v>
      </c>
      <c r="AA99">
        <v>42</v>
      </c>
      <c r="AB99">
        <v>34.5</v>
      </c>
      <c r="AC99">
        <v>24</v>
      </c>
      <c r="AD99">
        <v>2</v>
      </c>
      <c r="AE99">
        <v>0</v>
      </c>
      <c r="AF99" t="str">
        <v>Base kitchen cabinet with 2 doors (42")</v>
      </c>
      <c r="AG99" t="str">
        <v>2 doors (42")</v>
      </c>
    </row>
    <row r="100" hidden="1">
      <c r="A100" t="str">
        <v>S8-FSB33*19.75(10-1/8)</v>
      </c>
      <c r="E100" t="b">
        <f>IF(OR(B100=TRUE,C100=TRUE,D100=TRUE),FALSE,TRUE)</f>
        <v>1</v>
      </c>
      <c r="G100" t="str">
        <v>FSBC33</v>
      </c>
      <c r="H100" t="str">
        <f>IF(ISNUMBER(SEARCH("muf",A100)),"Chêne blanc","Blanc")</f>
        <v>Blanc</v>
      </c>
      <c r="I100" t="str">
        <f>CONCAT(G100,IF(H100="","",IF(H100="Blanc","-CW","-WWO")))</f>
        <v>FSBC33-CW</v>
      </c>
      <c r="J100" t="str">
        <f>IFERROR(VLOOKUP(K100,Categories!$A$2:$C$41,2,FALSE()),"⚠ slug introuvable")</f>
        <v>base-cabinet</v>
      </c>
      <c r="K100" t="str">
        <v>base-cabinet-farmhouse-sink</v>
      </c>
      <c r="L100" t="str">
        <f>IFERROR(VLOOKUP(J100,Categories!$A$2:$C$41,3,FALSE()),"⚠ slug introuvable")</f>
        <v>Armoire du bas</v>
      </c>
      <c r="M100" t="str">
        <f>IFERROR(VLOOKUP(K100,Categories!$A$2:$C$41,3,FALSE()),"⚠ slug introuvable")</f>
        <v>Évier farmhouse</v>
      </c>
      <c r="N100" t="str">
        <v>Armoire de cuisine du bas pour évier farmhouse</v>
      </c>
      <c r="O100" t="str">
        <f>CONCAT(N100," (",AA100,""")")</f>
        <v>Armoire de cuisine du bas pour évier farmhouse (33")</v>
      </c>
      <c r="P100" t="str">
        <f>CONCAT("Évier farmhouse"," (",AA100,""")")</f>
        <v>Évier farmhouse (33")</v>
      </c>
      <c r="Q100" s="1">
        <v>780</v>
      </c>
      <c r="R100" s="1">
        <f>Q100/11.25</f>
        <v>69.33333333333333</v>
      </c>
      <c r="S100" s="1">
        <f>R100*1.4</f>
        <v>97.06666666666665</v>
      </c>
      <c r="T100" s="1">
        <f>S100*1.1</f>
        <v>106.77333333333333</v>
      </c>
      <c r="U100" s="1">
        <f>T100*1.2</f>
        <v>128.128</v>
      </c>
      <c r="V100" s="1">
        <f>U100*1.2</f>
        <v>153.75359999999998</v>
      </c>
      <c r="W100" s="1">
        <f>V100*1.1</f>
        <v>169.12895999999998</v>
      </c>
      <c r="X100" s="1">
        <f>W100</f>
        <v>169.12895999999998</v>
      </c>
      <c r="Y100" s="2">
        <v>0.4</v>
      </c>
      <c r="Z100" s="1">
        <f>X100*(1+Y100)</f>
        <v>236.78054399999996</v>
      </c>
      <c r="AA100">
        <v>33</v>
      </c>
      <c r="AB100">
        <v>34.5</v>
      </c>
      <c r="AC100">
        <v>24</v>
      </c>
      <c r="AD100">
        <v>2</v>
      </c>
      <c r="AE100">
        <v>0</v>
      </c>
      <c r="AF100" t="str">
        <v>Base kitchen cabinet for farmhouse sink (33")</v>
      </c>
      <c r="AG100" t="str">
        <v>Farmhouse sink (33")</v>
      </c>
    </row>
    <row r="101" hidden="1">
      <c r="A101" t="str">
        <v>S8-FSB33*19.75(10-1/8)-muf</v>
      </c>
      <c r="E101" t="b">
        <f>IF(OR(B101=TRUE,C101=TRUE,D101=TRUE),FALSE,TRUE)</f>
        <v>1</v>
      </c>
      <c r="G101" t="str">
        <v>FSBC33</v>
      </c>
      <c r="H101" t="str">
        <f>IF(ISNUMBER(SEARCH("muf",A101)),"Chêne blanc","Blanc")</f>
        <v>Chêne blanc</v>
      </c>
      <c r="I101" t="str">
        <f>CONCAT(G101,IF(H101="","",IF(H101="Blanc","-CW","-WWO")))</f>
        <v>FSBC33-WWO</v>
      </c>
      <c r="J101" t="str">
        <f>IFERROR(VLOOKUP(K101,Categories!$A$2:$C$41,2,FALSE()),"⚠ slug introuvable")</f>
        <v>base-cabinet</v>
      </c>
      <c r="K101" t="str">
        <v>base-cabinet-farmhouse-sink</v>
      </c>
      <c r="L101" t="str">
        <f>IFERROR(VLOOKUP(J101,Categories!$A$2:$C$41,3,FALSE()),"⚠ slug introuvable")</f>
        <v>Armoire du bas</v>
      </c>
      <c r="M101" t="str">
        <f>IFERROR(VLOOKUP(K101,Categories!$A$2:$C$41,3,FALSE()),"⚠ slug introuvable")</f>
        <v>Évier farmhouse</v>
      </c>
      <c r="N101" t="str">
        <v>Armoire de cuisine du bas pour évier farmhouse</v>
      </c>
      <c r="O101" t="str">
        <f>CONCAT(N101," (",AA101,""")")</f>
        <v>Armoire de cuisine du bas pour évier farmhouse (33")</v>
      </c>
      <c r="P101" t="str">
        <f>CONCAT("Évier farmhouse"," (",AA101,""")")</f>
        <v>Évier farmhouse (33")</v>
      </c>
      <c r="Q101" s="1">
        <v>992</v>
      </c>
      <c r="R101" s="1">
        <f>Q101/11.25</f>
        <v>88.17777777777778</v>
      </c>
      <c r="S101" s="1">
        <f>R101*1.4</f>
        <v>123.44888888888887</v>
      </c>
      <c r="T101" s="1">
        <f>S101*1.1</f>
        <v>135.79377777777776</v>
      </c>
      <c r="U101" s="1">
        <f>T101*1.2</f>
        <v>162.95253333333332</v>
      </c>
      <c r="V101" s="1">
        <f>U101*1.2</f>
        <v>195.54304</v>
      </c>
      <c r="W101" s="1">
        <f>V101*1.1</f>
        <v>215.09734400000002</v>
      </c>
      <c r="X101" s="1">
        <f>W101</f>
        <v>215.09734400000002</v>
      </c>
      <c r="Y101" s="2">
        <v>0.4</v>
      </c>
      <c r="Z101" s="1">
        <f>X101*(1+Y101)</f>
        <v>301.1362816</v>
      </c>
      <c r="AA101">
        <v>33</v>
      </c>
      <c r="AB101">
        <v>34.5</v>
      </c>
      <c r="AC101">
        <v>24</v>
      </c>
      <c r="AD101">
        <v>2</v>
      </c>
      <c r="AE101">
        <v>0</v>
      </c>
      <c r="AF101" t="str">
        <v>Base kitchen cabinet for farmhouse sink (33")</v>
      </c>
      <c r="AG101" t="str">
        <v>Farmhouse sink (33")</v>
      </c>
    </row>
    <row r="102" hidden="1">
      <c r="A102" t="str">
        <v>S8-FSB36*19.75(10-1/8)</v>
      </c>
      <c r="E102" t="b">
        <f>IF(OR(B102=TRUE,C102=TRUE,D102=TRUE),FALSE,TRUE)</f>
        <v>1</v>
      </c>
      <c r="G102" t="str">
        <v>FSBC36</v>
      </c>
      <c r="H102" t="str">
        <f>IF(ISNUMBER(SEARCH("muf",A102)),"Chêne blanc","Blanc")</f>
        <v>Blanc</v>
      </c>
      <c r="I102" t="str">
        <f>CONCAT(G102,IF(H102="","",IF(H102="Blanc","-CW","-WWO")))</f>
        <v>FSBC36-CW</v>
      </c>
      <c r="J102" t="str">
        <f>IFERROR(VLOOKUP(K102,Categories!$A$2:$C$41,2,FALSE()),"⚠ slug introuvable")</f>
        <v>base-cabinet</v>
      </c>
      <c r="K102" t="str">
        <v>base-cabinet-farmhouse-sink</v>
      </c>
      <c r="L102" t="str">
        <f>IFERROR(VLOOKUP(J102,Categories!$A$2:$C$41,3,FALSE()),"⚠ slug introuvable")</f>
        <v>Armoire du bas</v>
      </c>
      <c r="M102" t="str">
        <f>IFERROR(VLOOKUP(K102,Categories!$A$2:$C$41,3,FALSE()),"⚠ slug introuvable")</f>
        <v>Évier farmhouse</v>
      </c>
      <c r="N102" t="str">
        <v>Armoire de cuisine du bas pour évier farmhouse</v>
      </c>
      <c r="O102" t="str">
        <f>CONCAT(N102," (",AA102,""")")</f>
        <v>Armoire de cuisine du bas pour évier farmhouse (36")</v>
      </c>
      <c r="P102" t="str">
        <f>CONCAT("Évier farmhouse"," (",AA102,""")")</f>
        <v>Évier farmhouse (36")</v>
      </c>
      <c r="Q102" s="1">
        <v>839</v>
      </c>
      <c r="R102" s="1">
        <f>Q102/11.25</f>
        <v>74.57777777777778</v>
      </c>
      <c r="S102" s="1">
        <f>R102*1.4</f>
        <v>104.4088888888889</v>
      </c>
      <c r="T102" s="1">
        <f>S102*1.1</f>
        <v>114.84977777777779</v>
      </c>
      <c r="U102" s="1">
        <f>T102*1.2</f>
        <v>137.81973333333335</v>
      </c>
      <c r="V102" s="1">
        <f>U102*1.2</f>
        <v>165.38368</v>
      </c>
      <c r="W102" s="1">
        <f>V102*1.1</f>
        <v>181.92204800000002</v>
      </c>
      <c r="X102" s="1">
        <f>W102</f>
        <v>181.92204800000002</v>
      </c>
      <c r="Y102" s="2">
        <v>0.4</v>
      </c>
      <c r="Z102" s="1">
        <f>X102*(1+Y102)</f>
        <v>254.6908672</v>
      </c>
      <c r="AA102">
        <v>36</v>
      </c>
      <c r="AB102">
        <v>34.5</v>
      </c>
      <c r="AC102">
        <v>24</v>
      </c>
      <c r="AD102">
        <v>2</v>
      </c>
      <c r="AE102">
        <v>0</v>
      </c>
      <c r="AF102" t="str">
        <v>Base kitchen cabinet for farmhouse sink (36")</v>
      </c>
      <c r="AG102" t="str">
        <v>Farmhouse sink (36")</v>
      </c>
    </row>
    <row r="103" hidden="1">
      <c r="A103" t="str">
        <v>S8-FSB36*19.75(10-1/8)-muf</v>
      </c>
      <c r="E103" t="b">
        <f>IF(OR(B103=TRUE,C103=TRUE,D103=TRUE),FALSE,TRUE)</f>
        <v>1</v>
      </c>
      <c r="G103" t="str">
        <v>FSBC36</v>
      </c>
      <c r="H103" t="str">
        <f>IF(ISNUMBER(SEARCH("muf",A103)),"Chêne blanc","Blanc")</f>
        <v>Chêne blanc</v>
      </c>
      <c r="I103" t="str">
        <f>CONCAT(G103,IF(H103="","",IF(H103="Blanc","-CW","-WWO")))</f>
        <v>FSBC36-WWO</v>
      </c>
      <c r="J103" t="str">
        <f>IFERROR(VLOOKUP(K103,Categories!$A$2:$C$41,2,FALSE()),"⚠ slug introuvable")</f>
        <v>base-cabinet</v>
      </c>
      <c r="K103" t="str">
        <v>base-cabinet-farmhouse-sink</v>
      </c>
      <c r="L103" t="str">
        <f>IFERROR(VLOOKUP(J103,Categories!$A$2:$C$41,3,FALSE()),"⚠ slug introuvable")</f>
        <v>Armoire du bas</v>
      </c>
      <c r="M103" t="str">
        <f>IFERROR(VLOOKUP(K103,Categories!$A$2:$C$41,3,FALSE()),"⚠ slug introuvable")</f>
        <v>Évier farmhouse</v>
      </c>
      <c r="N103" t="str">
        <v>Armoire de cuisine du bas pour évier farmhouse</v>
      </c>
      <c r="O103" t="str">
        <f>CONCAT(N103," (",AA103,""")")</f>
        <v>Armoire de cuisine du bas pour évier farmhouse (36")</v>
      </c>
      <c r="P103" t="str">
        <f>CONCAT("Évier farmhouse"," (",AA103,""")")</f>
        <v>Évier farmhouse (36")</v>
      </c>
      <c r="Q103" s="1">
        <v>1070</v>
      </c>
      <c r="R103" s="1">
        <f>Q103/11.25</f>
        <v>95.11111111111111</v>
      </c>
      <c r="S103" s="1">
        <f>R103*1.4</f>
        <v>133.15555555555557</v>
      </c>
      <c r="T103" s="1">
        <f>S103*1.1</f>
        <v>146.47111111111113</v>
      </c>
      <c r="U103" s="1">
        <f>T103*1.2</f>
        <v>175.76533333333336</v>
      </c>
      <c r="V103" s="1">
        <f>U103*1.2</f>
        <v>210.91840000000002</v>
      </c>
      <c r="W103" s="1">
        <f>V103*1.1</f>
        <v>232.01024000000004</v>
      </c>
      <c r="X103" s="1">
        <f>W103</f>
        <v>232.01024000000004</v>
      </c>
      <c r="Y103" s="2">
        <v>0.4</v>
      </c>
      <c r="Z103" s="1">
        <f>X103*(1+Y103)</f>
        <v>324.814336</v>
      </c>
      <c r="AA103">
        <v>36</v>
      </c>
      <c r="AB103">
        <v>34.5</v>
      </c>
      <c r="AC103">
        <v>24</v>
      </c>
      <c r="AD103">
        <v>2</v>
      </c>
      <c r="AE103">
        <v>0</v>
      </c>
      <c r="AF103" t="str">
        <v>Base kitchen cabinet for farmhouse sink (36")</v>
      </c>
      <c r="AG103" t="str">
        <v>Farmhouse sink (36")</v>
      </c>
    </row>
    <row r="104" hidden="1">
      <c r="A104" t="str">
        <v>S8-Garbage Bin</v>
      </c>
      <c r="E104" t="b">
        <f>IF(OR(B104=TRUE,C104=TRUE,D104=TRUE),FALSE,TRUE)</f>
        <v>1</v>
      </c>
      <c r="G104" t="str">
        <v>GARBAGE-BIN</v>
      </c>
      <c r="I104" t="str">
        <f>CONCAT(G104,IF(H104="","",IF(H104="Blanc","-CW","-WWO")))</f>
        <v>GARBAGE-BIN</v>
      </c>
      <c r="J104" t="str">
        <v>accessories</v>
      </c>
      <c r="K104" t="str">
        <v>garbage-bin</v>
      </c>
      <c r="L104" t="str">
        <f>IFERROR(VLOOKUP(J104,Categories!$A$2:$C$41,3,FALSE()),"⚠ slug introuvable")</f>
        <v>Accessoires</v>
      </c>
      <c r="M104" t="str">
        <f>IFERROR(VLOOKUP(K104,Categories!$A$2:$C$41,3,FALSE()),"⚠ slug introuvable")</f>
        <v>Poubelle</v>
      </c>
      <c r="N104" t="str">
        <v>Poubelle en plastique</v>
      </c>
      <c r="O104" t="str">
        <v>Poubelle en plastique</v>
      </c>
      <c r="P104" t="str">
        <v>Poubelle en plastique</v>
      </c>
      <c r="Q104" s="1">
        <v>37</v>
      </c>
      <c r="R104" s="1">
        <f>Q104/11.25</f>
        <v>3.2888888888888888</v>
      </c>
      <c r="S104" s="1">
        <f>R104*1.4</f>
        <v>4.604444444444444</v>
      </c>
      <c r="T104" s="1">
        <f>S104*1.1</f>
        <v>5.0648888888888886</v>
      </c>
      <c r="U104" s="1">
        <f>T104*1.2</f>
        <v>6.077866666666666</v>
      </c>
      <c r="V104" s="1">
        <f>U104*1.2</f>
        <v>7.293439999999999</v>
      </c>
      <c r="W104" s="1">
        <f>V104*1.1</f>
        <v>8.022784</v>
      </c>
      <c r="X104" s="1">
        <f>W104</f>
        <v>8.022784</v>
      </c>
      <c r="Y104" s="2">
        <v>0.4</v>
      </c>
      <c r="Z104" s="1">
        <f>X104*(1+Y104)</f>
        <v>11.231897599999998</v>
      </c>
      <c r="AD104" t="str">
        <v>N/A</v>
      </c>
      <c r="AE104" t="str">
        <v>N/A</v>
      </c>
      <c r="AF104" t="str">
        <v>Plastic bin</v>
      </c>
      <c r="AG104" t="str">
        <v>Plastic bin</v>
      </c>
    </row>
    <row r="105" hidden="1">
      <c r="A105" t="str">
        <v>S8-IBP9618</v>
      </c>
      <c r="E105" t="b">
        <f>IF(OR(B105=TRUE,C105=TRUE,D105=TRUE),FALSE,TRUE)</f>
        <v>1</v>
      </c>
      <c r="G105" t="str">
        <v>IBP9618</v>
      </c>
      <c r="H105" t="str">
        <f>IF(ISNUMBER(SEARCH("muf",A105)),"Chêne blanc","Blanc")</f>
        <v>Blanc</v>
      </c>
      <c r="I105" t="str">
        <f>CONCAT(G105,IF(H105="","",IF(H105="Blanc","-CW","-WWO")))</f>
        <v>IBP9618-CW</v>
      </c>
      <c r="J105" t="str">
        <f>IFERROR(VLOOKUP(K105,Categories!$A$2:$C$41,2,FALSE()),"⚠ slug introuvable")</f>
        <v>fillers-panels-moldings</v>
      </c>
      <c r="K105" t="str">
        <v>island-back-panel</v>
      </c>
      <c r="L105" t="str">
        <f>IFERROR(VLOOKUP(J105,Categories!$A$2:$C$41,3,FALSE()),"⚠ slug introuvable")</f>
        <v>Fillers, panneaux &amp; moulures</v>
      </c>
      <c r="M105" t="str">
        <f>IFERROR(VLOOKUP(K105,Categories!$A$2:$C$41,3,FALSE()),"⚠ slug introuvable")</f>
        <v>Panneau arrière d'îlot</v>
      </c>
      <c r="N105" t="str">
        <v>Panneau arrière d'îlot</v>
      </c>
      <c r="O105" t="str">
        <f>CONCAT(N105," (",AA105,""" x ",AB105,""")")</f>
        <v>Panneau arrière d'îlot (96" x 18")</v>
      </c>
      <c r="P105" t="str">
        <f>CONCAT(N105," (",AA105,""" x ",AB105,""")")</f>
        <v>Panneau arrière d'îlot (96" x 18")</v>
      </c>
      <c r="Q105" s="1">
        <v>431</v>
      </c>
      <c r="R105" s="1">
        <f>Q105/11.25</f>
        <v>38.31111111111111</v>
      </c>
      <c r="S105" s="1">
        <f>R105*1.4</f>
        <v>53.63555555555555</v>
      </c>
      <c r="T105" s="1">
        <f>S105*1.1</f>
        <v>58.999111111111105</v>
      </c>
      <c r="U105" s="1">
        <f>T105*1.2</f>
        <v>70.79893333333332</v>
      </c>
      <c r="V105" s="1">
        <f>U105*1.2</f>
        <v>84.95871999999999</v>
      </c>
      <c r="W105" s="1">
        <f>V105*1.1</f>
        <v>93.45459199999999</v>
      </c>
      <c r="X105" s="1">
        <f>W105</f>
        <v>93.45459199999999</v>
      </c>
      <c r="Y105" s="2">
        <v>0.4</v>
      </c>
      <c r="Z105" s="1">
        <f>X105*(1+Y105)</f>
        <v>130.8364288</v>
      </c>
      <c r="AA105">
        <v>96</v>
      </c>
      <c r="AB105">
        <v>18</v>
      </c>
      <c r="AC105">
        <v>0.75</v>
      </c>
      <c r="AD105" t="str">
        <v>N/A</v>
      </c>
      <c r="AE105" t="str">
        <v>N/A</v>
      </c>
      <c r="AF105" t="str">
        <v>Island back panel (96" x 18")</v>
      </c>
      <c r="AG105" t="str">
        <v>Island back panel (96" x 18")</v>
      </c>
    </row>
    <row r="106" hidden="1">
      <c r="A106" t="str">
        <v>S8-IBP9636</v>
      </c>
      <c r="E106" t="b">
        <f>IF(OR(B106=TRUE,C106=TRUE,D106=TRUE),FALSE,TRUE)</f>
        <v>1</v>
      </c>
      <c r="G106" t="str">
        <v>IBP9636</v>
      </c>
      <c r="H106" t="str">
        <f>IF(ISNUMBER(SEARCH("muf",A106)),"Chêne blanc","Blanc")</f>
        <v>Blanc</v>
      </c>
      <c r="I106" t="str">
        <f>CONCAT(G106,IF(H106="","",IF(H106="Blanc","-CW","-WWO")))</f>
        <v>IBP9636-CW</v>
      </c>
      <c r="J106" t="str">
        <f>IFERROR(VLOOKUP(K106,Categories!$A$2:$C$41,2,FALSE()),"⚠ slug introuvable")</f>
        <v>fillers-panels-moldings</v>
      </c>
      <c r="K106" t="str">
        <v>island-back-panel</v>
      </c>
      <c r="L106" t="str">
        <f>IFERROR(VLOOKUP(J106,Categories!$A$2:$C$41,3,FALSE()),"⚠ slug introuvable")</f>
        <v>Fillers, panneaux &amp; moulures</v>
      </c>
      <c r="M106" t="str">
        <f>IFERROR(VLOOKUP(K106,Categories!$A$2:$C$41,3,FALSE()),"⚠ slug introuvable")</f>
        <v>Panneau arrière d'îlot</v>
      </c>
      <c r="N106" t="str">
        <v>Panneau arrière d'îlot</v>
      </c>
      <c r="O106" t="str">
        <f>CONCAT(N106," (",AA106,""" x ",AB106,""")")</f>
        <v>Panneau arrière d'îlot (96" x 36")</v>
      </c>
      <c r="P106" t="str">
        <f>CONCAT(N106," (",AA106,""" x ",AB106,""")")</f>
        <v>Panneau arrière d'îlot (96" x 36")</v>
      </c>
      <c r="Q106" s="1">
        <v>1213</v>
      </c>
      <c r="R106" s="1">
        <f>Q106/11.25</f>
        <v>107.82222222222222</v>
      </c>
      <c r="S106" s="1">
        <f>R106*1.4</f>
        <v>150.9511111111111</v>
      </c>
      <c r="T106" s="1">
        <f>S106*1.1</f>
        <v>166.0462222222222</v>
      </c>
      <c r="U106" s="1">
        <f>T106*1.2</f>
        <v>199.25546666666665</v>
      </c>
      <c r="V106" s="1">
        <f>U106*1.2</f>
        <v>239.10655999999997</v>
      </c>
      <c r="W106" s="1">
        <f>V106*1.1</f>
        <v>263.017216</v>
      </c>
      <c r="X106" s="1">
        <f>W106</f>
        <v>263.017216</v>
      </c>
      <c r="Y106" s="2">
        <v>0.4</v>
      </c>
      <c r="Z106" s="1">
        <f>X106*(1+Y106)</f>
        <v>368.2241024</v>
      </c>
      <c r="AA106">
        <v>96</v>
      </c>
      <c r="AB106">
        <v>36</v>
      </c>
      <c r="AC106">
        <v>0.75</v>
      </c>
      <c r="AD106" t="str">
        <v>N/A</v>
      </c>
      <c r="AE106" t="str">
        <v>N/A</v>
      </c>
      <c r="AF106" t="str">
        <v>Island back panel (96" x 36")</v>
      </c>
      <c r="AG106" t="str">
        <v>Island back panel (96" x 36")</v>
      </c>
    </row>
    <row r="107" hidden="1">
      <c r="A107" t="str">
        <v>S8-IBP9636-muf</v>
      </c>
      <c r="E107" t="b">
        <f>IF(OR(B107=TRUE,C107=TRUE,D107=TRUE),FALSE,TRUE)</f>
        <v>1</v>
      </c>
      <c r="G107" t="str">
        <v>IBP9636</v>
      </c>
      <c r="H107" t="str">
        <f>IF(ISNUMBER(SEARCH("muf",A107)),"Chêne blanc","Blanc")</f>
        <v>Chêne blanc</v>
      </c>
      <c r="I107" t="str">
        <f>CONCAT(G107,IF(H107="","",IF(H107="Blanc","-CW","-WWO")))</f>
        <v>IBP9636-WWO</v>
      </c>
      <c r="J107" t="str">
        <f>IFERROR(VLOOKUP(K107,Categories!$A$2:$C$41,2,FALSE()),"⚠ slug introuvable")</f>
        <v>fillers-panels-moldings</v>
      </c>
      <c r="K107" t="str">
        <v>island-back-panel</v>
      </c>
      <c r="L107" t="str">
        <f>IFERROR(VLOOKUP(J107,Categories!$A$2:$C$41,3,FALSE()),"⚠ slug introuvable")</f>
        <v>Fillers, panneaux &amp; moulures</v>
      </c>
      <c r="M107" t="str">
        <f>IFERROR(VLOOKUP(K107,Categories!$A$2:$C$41,3,FALSE()),"⚠ slug introuvable")</f>
        <v>Panneau arrière d'îlot</v>
      </c>
      <c r="N107" t="str">
        <v>Panneau arrière d'îlot</v>
      </c>
      <c r="O107" t="str">
        <f>CONCAT(N107," (",AA107,""" x ",AB107,""")")</f>
        <v>Panneau arrière d'îlot (96" x 36")</v>
      </c>
      <c r="P107" t="str">
        <f>CONCAT(N107," (",AA107,""" x ",AB107,""")")</f>
        <v>Panneau arrière d'îlot (96" x 36")</v>
      </c>
      <c r="Q107" s="1">
        <v>1470.82</v>
      </c>
      <c r="R107" s="1">
        <f>Q107/11.25</f>
        <v>130.73955555555554</v>
      </c>
      <c r="S107" s="1">
        <f>R107*1.4</f>
        <v>183.03537777777774</v>
      </c>
      <c r="T107" s="1">
        <f>S107*1.1</f>
        <v>201.33891555555553</v>
      </c>
      <c r="U107" s="1">
        <f>T107*1.2</f>
        <v>241.60669866666663</v>
      </c>
      <c r="V107" s="1">
        <f>U107*1.2</f>
        <v>289.92803839999993</v>
      </c>
      <c r="W107" s="1">
        <f>V107*1.1</f>
        <v>318.92084223999996</v>
      </c>
      <c r="X107" s="1">
        <f>W107</f>
        <v>318.92084223999996</v>
      </c>
      <c r="Y107" s="2">
        <v>0.4</v>
      </c>
      <c r="Z107" s="1">
        <f>X107*(1+Y107)</f>
        <v>446.4891791359999</v>
      </c>
      <c r="AA107">
        <v>96</v>
      </c>
      <c r="AB107">
        <v>36</v>
      </c>
      <c r="AC107">
        <v>0.75</v>
      </c>
      <c r="AD107" t="str">
        <v>N/A</v>
      </c>
      <c r="AE107" t="str">
        <v>N/A</v>
      </c>
      <c r="AF107" t="str">
        <v>Island back panel (96" x 36")</v>
      </c>
      <c r="AG107" t="str">
        <v>Island back panel (96" x 36")</v>
      </c>
    </row>
    <row r="108">
      <c r="A108" t="str">
        <v>S8-ISP25.75X36</v>
      </c>
      <c r="E108" t="b">
        <f>IF(OR(B108=TRUE,C108=TRUE,D108=TRUE),FALSE,TRUE)</f>
        <v>1</v>
      </c>
      <c r="G108" t="str">
        <v>ISP25.75-36</v>
      </c>
      <c r="H108" t="str">
        <f>IF(ISNUMBER(SEARCH("muf",A108)),"Chêne blanc","Blanc")</f>
        <v>Blanc</v>
      </c>
      <c r="I108" t="str">
        <f>CONCAT(G108,IF(H108="","",IF(H108="Blanc","-CW","-WWO")))</f>
        <v>ISP25.75-36-CW</v>
      </c>
      <c r="J108" t="str">
        <f>IFERROR(VLOOKUP(K108,Categories!$A$2:$C$41,2,FALSE()),"⚠ slug introuvable")</f>
        <v>fillers-panels-moldings</v>
      </c>
      <c r="K108" t="str">
        <v>island-side-panel</v>
      </c>
      <c r="L108" t="str">
        <f>IFERROR(VLOOKUP(J108,Categories!$A$2:$C$41,3,FALSE()),"⚠ slug introuvable")</f>
        <v>Fillers, panneaux &amp; moulures</v>
      </c>
      <c r="M108" t="str">
        <f>IFERROR(VLOOKUP(K108,Categories!$A$2:$C$41,3,FALSE()),"⚠ slug introuvable")</f>
        <v>Panneau de côté d'îlot</v>
      </c>
      <c r="N108" t="str">
        <v>Panneau de côté d'îlot</v>
      </c>
      <c r="O108" t="str">
        <f>CONCAT(N108," (",AA108,""" x ",AB108,""")")</f>
        <v>Panneau de côté d'îlot (25.75" x 36")</v>
      </c>
      <c r="P108" t="str">
        <f>CONCAT(N108," (",AA108,""" x ",AB108,""")")</f>
        <v>Panneau de côté d'îlot (25.75" x 36")</v>
      </c>
      <c r="Q108" s="1">
        <v>251</v>
      </c>
      <c r="R108" s="1">
        <f>Q108/11.25</f>
        <v>22.31111111111111</v>
      </c>
      <c r="S108" s="1">
        <f>R108*1.4</f>
        <v>31.235555555555553</v>
      </c>
      <c r="T108" s="1">
        <f>S108*1.1</f>
        <v>34.35911111111111</v>
      </c>
      <c r="U108" s="1">
        <f>T108*1.2</f>
        <v>41.23093333333333</v>
      </c>
      <c r="V108" s="1">
        <f>U108*1.2</f>
        <v>49.47712</v>
      </c>
      <c r="W108" s="1">
        <f>V108*1.1</f>
        <v>54.424832</v>
      </c>
      <c r="X108" s="1">
        <f>W108</f>
        <v>54.424832</v>
      </c>
      <c r="Y108" s="2">
        <v>0.4</v>
      </c>
      <c r="Z108" s="1">
        <f>X108*(1+Y108)</f>
        <v>76.1947648</v>
      </c>
      <c r="AA108">
        <v>25.75</v>
      </c>
      <c r="AB108">
        <v>36</v>
      </c>
      <c r="AC108">
        <v>0.75</v>
      </c>
      <c r="AD108" t="str">
        <v>N/A</v>
      </c>
      <c r="AE108" t="str">
        <v>N/A</v>
      </c>
      <c r="AF108" t="str">
        <v>Island side panel (25.75" x 36")</v>
      </c>
      <c r="AG108" t="str">
        <v>Island side panel (25.75" x 36")</v>
      </c>
    </row>
    <row r="109" hidden="1">
      <c r="A109" t="str">
        <v>S8-ISP2436-muf</v>
      </c>
      <c r="E109" t="b">
        <f>IF(OR(B109=TRUE,C109=TRUE,D109=TRUE),FALSE,TRUE)</f>
        <v>1</v>
      </c>
      <c r="G109" t="str">
        <v>ISP2436</v>
      </c>
      <c r="H109" t="str">
        <f>IF(ISNUMBER(SEARCH("muf",A109)),"Chêne blanc","Blanc")</f>
        <v>Chêne blanc</v>
      </c>
      <c r="I109" t="str">
        <f>CONCAT(G109,IF(H109="","",IF(H109="Blanc","-CW","-WWO")))</f>
        <v>ISP2436-WWO</v>
      </c>
      <c r="J109" t="str">
        <f>IFERROR(VLOOKUP(K109,Categories!$A$2:$C$41,2,FALSE()),"⚠ slug introuvable")</f>
        <v>fillers-panels-moldings</v>
      </c>
      <c r="K109" t="str">
        <v>island-side-panel</v>
      </c>
      <c r="L109" t="str">
        <f>IFERROR(VLOOKUP(J109,Categories!$A$2:$C$41,3,FALSE()),"⚠ slug introuvable")</f>
        <v>Fillers, panneaux &amp; moulures</v>
      </c>
      <c r="M109" t="str">
        <f>IFERROR(VLOOKUP(K109,Categories!$A$2:$C$41,3,FALSE()),"⚠ slug introuvable")</f>
        <v>Panneau de côté d'îlot</v>
      </c>
      <c r="N109" t="str">
        <v>Panneau de côté d'îlot</v>
      </c>
      <c r="O109" t="str">
        <f>CONCAT(N109," (",AA109,""" x ",AB109,""")")</f>
        <v>Panneau de côté d'îlot (24" x 36")</v>
      </c>
      <c r="P109" t="str">
        <f>CONCAT(N109," (",AA109,""" x ",AB109,""")")</f>
        <v>Panneau de côté d'îlot (24" x 36")</v>
      </c>
      <c r="Q109" s="1">
        <v>404</v>
      </c>
      <c r="R109" s="1">
        <f>Q109/11.25</f>
        <v>35.91111111111111</v>
      </c>
      <c r="S109" s="1">
        <f>R109*1.4</f>
        <v>50.275555555555556</v>
      </c>
      <c r="T109" s="1">
        <f>S109*1.1</f>
        <v>55.303111111111114</v>
      </c>
      <c r="U109" s="1">
        <f>T109*1.2</f>
        <v>66.36373333333333</v>
      </c>
      <c r="V109" s="1">
        <f>U109*1.2</f>
        <v>79.63647999999999</v>
      </c>
      <c r="W109" s="1">
        <f>V109*1.1</f>
        <v>87.600128</v>
      </c>
      <c r="X109" s="1">
        <f>W109</f>
        <v>87.600128</v>
      </c>
      <c r="Y109" s="2">
        <v>0.4</v>
      </c>
      <c r="Z109" s="1">
        <f>X109*(1+Y109)</f>
        <v>122.64017919999999</v>
      </c>
      <c r="AA109">
        <v>24</v>
      </c>
      <c r="AB109">
        <v>36</v>
      </c>
      <c r="AC109">
        <v>0.75</v>
      </c>
      <c r="AD109" t="str">
        <v>N/A</v>
      </c>
      <c r="AE109" t="str">
        <v>N/A</v>
      </c>
      <c r="AF109" t="str">
        <v>Island side panel (24" x 36")</v>
      </c>
      <c r="AG109" t="str">
        <v>Island side panel (24" x 36")</v>
      </c>
    </row>
    <row r="110" hidden="1">
      <c r="A110" t="str">
        <v>S8-ISP2536-muf</v>
      </c>
      <c r="E110" t="b">
        <f>IF(OR(B110=TRUE,C110=TRUE,D110=TRUE),FALSE,TRUE)</f>
        <v>1</v>
      </c>
      <c r="G110" t="str">
        <v>ISP2536</v>
      </c>
      <c r="H110" t="str">
        <f>IF(ISNUMBER(SEARCH("muf",A110)),"Chêne blanc","Blanc")</f>
        <v>Chêne blanc</v>
      </c>
      <c r="I110" t="str">
        <f>CONCAT(G110,IF(H110="","",IF(H110="Blanc","-CW","-WWO")))</f>
        <v>ISP2536-WWO</v>
      </c>
      <c r="J110" t="str">
        <f>IFERROR(VLOOKUP(K110,Categories!$A$2:$C$41,2,FALSE()),"⚠ slug introuvable")</f>
        <v>fillers-panels-moldings</v>
      </c>
      <c r="K110" t="str">
        <v>island-side-panel</v>
      </c>
      <c r="L110" t="str">
        <f>IFERROR(VLOOKUP(J110,Categories!$A$2:$C$41,3,FALSE()),"⚠ slug introuvable")</f>
        <v>Fillers, panneaux &amp; moulures</v>
      </c>
      <c r="M110" t="str">
        <f>IFERROR(VLOOKUP(K110,Categories!$A$2:$C$41,3,FALSE()),"⚠ slug introuvable")</f>
        <v>Panneau de côté d'îlot</v>
      </c>
      <c r="N110" t="str">
        <v>Panneau de côté d'îlot</v>
      </c>
      <c r="O110" t="str">
        <f>CONCAT(N110," (",AA110,""" x ",AB110,""")")</f>
        <v>Panneau de côté d'îlot (25" x 36")</v>
      </c>
      <c r="P110" t="str">
        <f>CONCAT(N110," (",AA110,""" x ",AB110,""")")</f>
        <v>Panneau de côté d'îlot (25" x 36")</v>
      </c>
      <c r="Q110" s="1">
        <v>404</v>
      </c>
      <c r="R110" s="1">
        <f>Q110/11.25</f>
        <v>35.91111111111111</v>
      </c>
      <c r="S110" s="1">
        <f>R110*1.4</f>
        <v>50.275555555555556</v>
      </c>
      <c r="T110" s="1">
        <f>S110*1.1</f>
        <v>55.303111111111114</v>
      </c>
      <c r="U110" s="1">
        <f>T110*1.2</f>
        <v>66.36373333333333</v>
      </c>
      <c r="V110" s="1">
        <f>U110*1.2</f>
        <v>79.63647999999999</v>
      </c>
      <c r="W110" s="1">
        <f>V110*1.1</f>
        <v>87.600128</v>
      </c>
      <c r="X110" s="1">
        <f>W110</f>
        <v>87.600128</v>
      </c>
      <c r="Y110" s="2">
        <v>0.4</v>
      </c>
      <c r="Z110" s="1">
        <f>X110*(1+Y110)</f>
        <v>122.64017919999999</v>
      </c>
      <c r="AA110">
        <v>25</v>
      </c>
      <c r="AB110">
        <v>36</v>
      </c>
      <c r="AC110">
        <v>0.75</v>
      </c>
      <c r="AD110" t="str">
        <v>N/A</v>
      </c>
      <c r="AE110" t="str">
        <v>N/A</v>
      </c>
      <c r="AF110" t="str">
        <v>Island side panel (25" x 36")</v>
      </c>
      <c r="AG110" t="str">
        <v>Island side panel (25" x 36")</v>
      </c>
    </row>
    <row r="111" hidden="1">
      <c r="A111" t="str">
        <v>S8-ISP37.75X36</v>
      </c>
      <c r="E111" t="b">
        <f>IF(OR(B111=TRUE,C111=TRUE,D111=TRUE),FALSE,TRUE)</f>
        <v>1</v>
      </c>
      <c r="G111" t="str">
        <v>ISP37.75-36</v>
      </c>
      <c r="H111" t="str">
        <f>IF(ISNUMBER(SEARCH("muf",A111)),"Chêne blanc","Blanc")</f>
        <v>Blanc</v>
      </c>
      <c r="I111" t="str">
        <f>CONCAT(G111,IF(H111="","",IF(H111="Blanc","-CW","-WWO")))</f>
        <v>ISP37.75-36-CW</v>
      </c>
      <c r="J111" t="str">
        <f>IFERROR(VLOOKUP(K111,Categories!$A$2:$C$41,2,FALSE()),"⚠ slug introuvable")</f>
        <v>fillers-panels-moldings</v>
      </c>
      <c r="K111" t="str">
        <v>island-side-panel</v>
      </c>
      <c r="L111" t="str">
        <f>IFERROR(VLOOKUP(J111,Categories!$A$2:$C$41,3,FALSE()),"⚠ slug introuvable")</f>
        <v>Fillers, panneaux &amp; moulures</v>
      </c>
      <c r="M111" t="str">
        <f>IFERROR(VLOOKUP(K111,Categories!$A$2:$C$41,3,FALSE()),"⚠ slug introuvable")</f>
        <v>Panneau de côté d'îlot</v>
      </c>
      <c r="N111" t="str">
        <v>Panneau de côté d'îlot</v>
      </c>
      <c r="O111" t="str">
        <f>CONCAT(N111," (",AA111,""" x ",AB111,""")")</f>
        <v>Panneau de côté d'îlot (37.75" x 36")</v>
      </c>
      <c r="P111" t="str">
        <f>CONCAT(N111," (",AA111,""" x ",AB111,""")")</f>
        <v>Panneau de côté d'îlot (37.75" x 36")</v>
      </c>
      <c r="Q111" s="1">
        <v>359</v>
      </c>
      <c r="R111" s="1">
        <f>Q111/11.25</f>
        <v>31.91111111111111</v>
      </c>
      <c r="S111" s="1">
        <f>R111*1.4</f>
        <v>44.675555555555555</v>
      </c>
      <c r="T111" s="1">
        <f>S111*1.1</f>
        <v>49.14311111111111</v>
      </c>
      <c r="U111" s="1">
        <f>T111*1.2</f>
        <v>58.97173333333333</v>
      </c>
      <c r="V111" s="1">
        <f>U111*1.2</f>
        <v>70.76608</v>
      </c>
      <c r="W111" s="1">
        <f>V111*1.1</f>
        <v>77.84268800000001</v>
      </c>
      <c r="X111" s="1">
        <f>W111</f>
        <v>77.84268800000001</v>
      </c>
      <c r="Y111" s="2">
        <v>0.4</v>
      </c>
      <c r="Z111" s="1">
        <f>X111*(1+Y111)</f>
        <v>108.97976320000001</v>
      </c>
      <c r="AA111">
        <v>37.75</v>
      </c>
      <c r="AB111">
        <v>36</v>
      </c>
      <c r="AC111">
        <v>0.75</v>
      </c>
      <c r="AD111" t="str">
        <v>N/A</v>
      </c>
      <c r="AE111" t="str">
        <v>N/A</v>
      </c>
      <c r="AF111" t="str">
        <v>Island side panel (37.75" x 36")</v>
      </c>
      <c r="AG111" t="str">
        <v>Island side panel (37.75" x 36")</v>
      </c>
    </row>
    <row r="112" hidden="1">
      <c r="A112" t="str">
        <v>S8-LS3309</v>
      </c>
      <c r="E112" t="b">
        <f>IF(OR(B112=TRUE,C112=TRUE,D112=TRUE),FALSE,TRUE)</f>
        <v>1</v>
      </c>
      <c r="G112" t="str">
        <v>CBC3309</v>
      </c>
      <c r="H112" t="str">
        <f>IF(ISNUMBER(SEARCH("muf",A112)),"Chêne blanc","Blanc")</f>
        <v>Blanc</v>
      </c>
      <c r="I112" t="str">
        <f>CONCAT(G112,IF(H112="","",IF(H112="Blanc","-CW","-WWO")))</f>
        <v>CBC3309-CW</v>
      </c>
      <c r="J112" t="str">
        <f>IFERROR(VLOOKUP(K112,Categories!$A$2:$C$41,2,FALSE()),"⚠ slug introuvable")</f>
        <v>base-cabinet</v>
      </c>
      <c r="K112" t="str">
        <v>base-cabinet-corner</v>
      </c>
      <c r="L112" t="str">
        <f>IFERROR(VLOOKUP(J112,Categories!$A$2:$C$41,3,FALSE()),"⚠ slug introuvable")</f>
        <v>Armoire du bas</v>
      </c>
      <c r="M112" t="str">
        <f>IFERROR(VLOOKUP(K112,Categories!$A$2:$C$41,3,FALSE()),"⚠ slug introuvable")</f>
        <v>Coin</v>
      </c>
      <c r="N112" t="str">
        <v>Armoire de cuisine du bas coin 90º</v>
      </c>
      <c r="O112" t="str">
        <f>CONCAT(N112," (",AA112,""")")</f>
        <v>Armoire de cuisine du bas coin 90º (33")</v>
      </c>
      <c r="P112" t="str">
        <f>CONCAT("Coin 90º"," (",AA112,""")")</f>
        <v>Coin 90º (33")</v>
      </c>
      <c r="Q112" s="1">
        <v>1242</v>
      </c>
      <c r="R112" s="1">
        <f>Q112/11.25</f>
        <v>110.4</v>
      </c>
      <c r="S112" s="1">
        <f>R112*1.4</f>
        <v>154.56</v>
      </c>
      <c r="T112" s="1">
        <f>S112*1.1</f>
        <v>170.01600000000002</v>
      </c>
      <c r="U112" s="1">
        <f>T112*1.2</f>
        <v>204.0192</v>
      </c>
      <c r="V112" s="1">
        <f>U112*1.2</f>
        <v>244.82304</v>
      </c>
      <c r="W112" s="1">
        <f>V112*1.1</f>
        <v>269.305344</v>
      </c>
      <c r="X112" s="1">
        <f>W112</f>
        <v>269.305344</v>
      </c>
      <c r="Y112" s="2">
        <v>0.4</v>
      </c>
      <c r="Z112" s="1">
        <f>X112*(1+Y112)</f>
        <v>377.0274816</v>
      </c>
      <c r="AA112">
        <v>33</v>
      </c>
      <c r="AB112">
        <v>34.5</v>
      </c>
      <c r="AC112">
        <v>24</v>
      </c>
      <c r="AD112">
        <v>1</v>
      </c>
      <c r="AE112">
        <v>0</v>
      </c>
      <c r="AF112" t="str">
        <v>Base kitchen corner cabinet 90º (33")</v>
      </c>
      <c r="AG112" t="str">
        <v>90º corner (33")</v>
      </c>
    </row>
    <row r="113" hidden="1">
      <c r="A113" t="str">
        <v>S8-LS3309-muf</v>
      </c>
      <c r="E113" t="b">
        <f>IF(OR(B113=TRUE,C113=TRUE,D113=TRUE),FALSE,TRUE)</f>
        <v>1</v>
      </c>
      <c r="G113" t="str">
        <v>CBC3309</v>
      </c>
      <c r="H113" t="str">
        <f>IF(ISNUMBER(SEARCH("muf",A113)),"Chêne blanc","Blanc")</f>
        <v>Chêne blanc</v>
      </c>
      <c r="I113" t="str">
        <f>CONCAT(G113,IF(H113="","",IF(H113="Blanc","-CW","-WWO")))</f>
        <v>CBC3309-WWO</v>
      </c>
      <c r="J113" t="str">
        <f>IFERROR(VLOOKUP(K113,Categories!$A$2:$C$41,2,FALSE()),"⚠ slug introuvable")</f>
        <v>base-cabinet</v>
      </c>
      <c r="K113" t="str">
        <v>base-cabinet-corner</v>
      </c>
      <c r="L113" t="str">
        <f>IFERROR(VLOOKUP(J113,Categories!$A$2:$C$41,3,FALSE()),"⚠ slug introuvable")</f>
        <v>Armoire du bas</v>
      </c>
      <c r="M113" t="str">
        <f>IFERROR(VLOOKUP(K113,Categories!$A$2:$C$41,3,FALSE()),"⚠ slug introuvable")</f>
        <v>Coin</v>
      </c>
      <c r="N113" t="str">
        <v>Armoire de cuisine du bas coin 90º</v>
      </c>
      <c r="O113" t="str">
        <f>CONCAT(N113," (",AA113,""")")</f>
        <v>Armoire de cuisine du bas coin 90º (33")</v>
      </c>
      <c r="P113" t="str">
        <f>CONCAT("Coin 90º"," (",AA113,""")")</f>
        <v>Coin 90º (33")</v>
      </c>
      <c r="Q113" s="1">
        <v>1459</v>
      </c>
      <c r="R113" s="1">
        <f>Q113/11.25</f>
        <v>129.6888888888889</v>
      </c>
      <c r="S113" s="1">
        <f>R113*1.4</f>
        <v>181.56444444444443</v>
      </c>
      <c r="T113" s="1">
        <f>S113*1.1</f>
        <v>199.72088888888888</v>
      </c>
      <c r="U113" s="1">
        <f>T113*1.2</f>
        <v>239.66506666666663</v>
      </c>
      <c r="V113" s="1">
        <f>U113*1.2</f>
        <v>287.5980799999999</v>
      </c>
      <c r="W113" s="1">
        <f>V113*1.1</f>
        <v>316.35788799999995</v>
      </c>
      <c r="X113" s="1">
        <f>W113</f>
        <v>316.35788799999995</v>
      </c>
      <c r="Y113" s="2">
        <v>0.4</v>
      </c>
      <c r="Z113" s="1">
        <f>X113*(1+Y113)</f>
        <v>442.9010431999999</v>
      </c>
      <c r="AA113">
        <v>33</v>
      </c>
      <c r="AB113">
        <v>34.5</v>
      </c>
      <c r="AC113">
        <v>24</v>
      </c>
      <c r="AD113">
        <v>1</v>
      </c>
      <c r="AE113">
        <v>0</v>
      </c>
      <c r="AF113" t="str">
        <v>Base kitchen corner cabinet 90º (33")</v>
      </c>
      <c r="AG113" t="str">
        <v>90º corner (33")</v>
      </c>
    </row>
    <row r="114" hidden="1">
      <c r="A114" t="str">
        <v>S8-LS3612</v>
      </c>
      <c r="E114" t="b">
        <f>IF(OR(B114=TRUE,C114=TRUE,D114=TRUE),FALSE,TRUE)</f>
        <v>1</v>
      </c>
      <c r="G114" t="str">
        <v>CBC3612</v>
      </c>
      <c r="H114" t="str">
        <f>IF(ISNUMBER(SEARCH("muf",A114)),"Chêne blanc","Blanc")</f>
        <v>Blanc</v>
      </c>
      <c r="I114" t="str">
        <f>CONCAT(G114,IF(H114="","",IF(H114="Blanc","-CW","-WWO")))</f>
        <v>CBC3612-CW</v>
      </c>
      <c r="J114" t="str">
        <f>IFERROR(VLOOKUP(K114,Categories!$A$2:$C$41,2,FALSE()),"⚠ slug introuvable")</f>
        <v>base-cabinet</v>
      </c>
      <c r="K114" t="str">
        <v>base-cabinet-corner</v>
      </c>
      <c r="L114" t="str">
        <f>IFERROR(VLOOKUP(J114,Categories!$A$2:$C$41,3,FALSE()),"⚠ slug introuvable")</f>
        <v>Armoire du bas</v>
      </c>
      <c r="M114" t="str">
        <f>IFERROR(VLOOKUP(K114,Categories!$A$2:$C$41,3,FALSE()),"⚠ slug introuvable")</f>
        <v>Coin</v>
      </c>
      <c r="N114" t="str">
        <v>Armoire de cuisine du bas coin 90º</v>
      </c>
      <c r="O114" t="str">
        <f>CONCAT(N114," (",AA114,""")")</f>
        <v>Armoire de cuisine du bas coin 90º (36")</v>
      </c>
      <c r="P114" t="str">
        <f>CONCAT("Coin 90º"," (",AA114,""")")</f>
        <v>Coin 90º (36")</v>
      </c>
      <c r="Q114" s="1">
        <v>1327</v>
      </c>
      <c r="R114" s="1">
        <f>Q114/11.25</f>
        <v>117.95555555555555</v>
      </c>
      <c r="S114" s="1">
        <f>R114*1.4</f>
        <v>165.13777777777776</v>
      </c>
      <c r="T114" s="1">
        <f>S114*1.1</f>
        <v>181.65155555555555</v>
      </c>
      <c r="U114" s="1">
        <f>T114*1.2</f>
        <v>217.98186666666666</v>
      </c>
      <c r="V114" s="1">
        <f>U114*1.2</f>
        <v>261.57824</v>
      </c>
      <c r="W114" s="1">
        <f>V114*1.1</f>
        <v>287.736064</v>
      </c>
      <c r="X114" s="1">
        <f>W114</f>
        <v>287.736064</v>
      </c>
      <c r="Y114" s="2">
        <v>0.4</v>
      </c>
      <c r="Z114" s="1">
        <f>X114*(1+Y114)</f>
        <v>402.83048959999996</v>
      </c>
      <c r="AA114">
        <v>36</v>
      </c>
      <c r="AB114">
        <v>34.5</v>
      </c>
      <c r="AC114">
        <v>24</v>
      </c>
      <c r="AD114">
        <v>1</v>
      </c>
      <c r="AE114">
        <v>0</v>
      </c>
      <c r="AF114" t="str">
        <v>Base kitchen corner cabinet 90º (36")</v>
      </c>
      <c r="AG114" t="str">
        <v>90º corner (36")</v>
      </c>
    </row>
    <row r="115" hidden="1">
      <c r="A115" t="str">
        <v>S8-LS3612-muf</v>
      </c>
      <c r="E115" t="b">
        <f>IF(OR(B115=TRUE,C115=TRUE,D115=TRUE),FALSE,TRUE)</f>
        <v>1</v>
      </c>
      <c r="G115" t="str">
        <v>CBC3612</v>
      </c>
      <c r="H115" t="str">
        <f>IF(ISNUMBER(SEARCH("muf",A115)),"Chêne blanc","Blanc")</f>
        <v>Chêne blanc</v>
      </c>
      <c r="I115" t="str">
        <f>CONCAT(G115,IF(H115="","",IF(H115="Blanc","-CW","-WWO")))</f>
        <v>CBC3612-WWO</v>
      </c>
      <c r="J115" t="str">
        <f>IFERROR(VLOOKUP(K115,Categories!$A$2:$C$41,2,FALSE()),"⚠ slug introuvable")</f>
        <v>base-cabinet</v>
      </c>
      <c r="K115" t="str">
        <v>base-cabinet-corner</v>
      </c>
      <c r="L115" t="str">
        <f>IFERROR(VLOOKUP(J115,Categories!$A$2:$C$41,3,FALSE()),"⚠ slug introuvable")</f>
        <v>Armoire du bas</v>
      </c>
      <c r="M115" t="str">
        <f>IFERROR(VLOOKUP(K115,Categories!$A$2:$C$41,3,FALSE()),"⚠ slug introuvable")</f>
        <v>Coin</v>
      </c>
      <c r="N115" t="str">
        <v>Armoire de cuisine du bas coin 90º</v>
      </c>
      <c r="O115" t="str">
        <f>CONCAT(N115," (",AA115,""")")</f>
        <v>Armoire de cuisine du bas coin 90º (36")</v>
      </c>
      <c r="P115" t="str">
        <f>CONCAT("Coin 90º"," (",AA115,""")")</f>
        <v>Coin 90º (36")</v>
      </c>
      <c r="Q115" s="1">
        <v>1697.18</v>
      </c>
      <c r="R115" s="1">
        <f>Q115/11.25</f>
        <v>150.86044444444445</v>
      </c>
      <c r="S115" s="1">
        <f>R115*1.4</f>
        <v>211.2046222222222</v>
      </c>
      <c r="T115" s="1">
        <f>S115*1.1</f>
        <v>232.32508444444446</v>
      </c>
      <c r="U115" s="1">
        <f>T115*1.2</f>
        <v>278.7901013333333</v>
      </c>
      <c r="V115" s="1">
        <f>U115*1.2</f>
        <v>334.5481216</v>
      </c>
      <c r="W115" s="1">
        <f>V115*1.1</f>
        <v>368.00293376</v>
      </c>
      <c r="X115" s="1">
        <f>W115</f>
        <v>368.00293376</v>
      </c>
      <c r="Y115" s="2">
        <v>0.4</v>
      </c>
      <c r="Z115" s="1">
        <f>X115*(1+Y115)</f>
        <v>515.204107264</v>
      </c>
      <c r="AA115">
        <v>36</v>
      </c>
      <c r="AB115">
        <v>34.5</v>
      </c>
      <c r="AC115">
        <v>24</v>
      </c>
      <c r="AD115">
        <v>1</v>
      </c>
      <c r="AE115">
        <v>0</v>
      </c>
      <c r="AF115" t="str">
        <v>Base kitchen corner cabinet 90º (36")</v>
      </c>
      <c r="AG115" t="str">
        <v>90º corner (36")</v>
      </c>
    </row>
    <row r="116" hidden="1">
      <c r="A116" t="str">
        <v>S8-OC33X103.5</v>
      </c>
      <c r="C116" t="b">
        <v>1</v>
      </c>
      <c r="E116" t="b">
        <f>IF(OR(B116=TRUE,C116=TRUE,D116=TRUE),FALSE,TRUE)</f>
        <v>0</v>
      </c>
      <c r="H116" t="str">
        <f>IF(ISNUMBER(SEARCH("muf",A116)),"Chêne blanc","Blanc")</f>
        <v>Blanc</v>
      </c>
      <c r="I116" t="str">
        <f>CONCAT(G116,IF(H116="","",IF(H116="Blanc","-CW","-WWO")))</f>
        <v>-CW</v>
      </c>
      <c r="K116" t="str">
        <v>utility-cabinet-oven</v>
      </c>
      <c r="M116" t="str">
        <f>IFERROR(VLOOKUP(K116,Categories!$A$2:$C$41,3,FALSE()),"⚠ slug introuvable")</f>
        <v>⚠ slug introuvable</v>
      </c>
      <c r="N116" t="str">
        <v>OC33X103.5</v>
      </c>
      <c r="Q116" s="1">
        <v>0</v>
      </c>
      <c r="R116" s="1">
        <f>Q116/11.25</f>
        <v>0</v>
      </c>
      <c r="S116" s="1">
        <f>R116*1.4</f>
        <v>0</v>
      </c>
      <c r="T116" s="1">
        <f>S116*1.1</f>
        <v>0</v>
      </c>
      <c r="U116" s="1">
        <f>T116*1.2</f>
        <v>0</v>
      </c>
      <c r="V116" s="1">
        <f>U116*1.2</f>
        <v>0</v>
      </c>
      <c r="W116" s="1">
        <f>V116*1.1</f>
        <v>0</v>
      </c>
      <c r="X116" s="1">
        <f>W116</f>
        <v>0</v>
      </c>
      <c r="Y116" s="2">
        <v>0.4</v>
      </c>
      <c r="Z116" s="1">
        <f>X116*(1+Y116)</f>
        <v>0</v>
      </c>
      <c r="AA116">
        <v>33</v>
      </c>
      <c r="AB116">
        <v>103.5</v>
      </c>
      <c r="AC116">
        <v>27</v>
      </c>
      <c r="AD116">
        <v>2</v>
      </c>
      <c r="AE116">
        <v>0</v>
      </c>
    </row>
    <row r="117" hidden="1">
      <c r="A117" t="str">
        <v>S8-OC-DB30 DRAWER</v>
      </c>
      <c r="D117" t="b">
        <v>1</v>
      </c>
      <c r="E117" t="b">
        <f>IF(OR(B117=TRUE,C117=TRUE,D117=TRUE),FALSE,TRUE)</f>
        <v>0</v>
      </c>
      <c r="H117" t="str">
        <f>IF(ISNUMBER(SEARCH("muf",A117)),"Chêne blanc","Blanc")</f>
        <v>Blanc</v>
      </c>
      <c r="I117" t="str">
        <f>CONCAT(G117,IF(H117="","",IF(H117="Blanc","-CW","-WWO")))</f>
        <v>-CW</v>
      </c>
      <c r="K117" t="str">
        <v>utility-cabinet-oven</v>
      </c>
      <c r="M117" t="str">
        <f>IFERROR(VLOOKUP(K117,Categories!$A$2:$C$41,3,FALSE()),"⚠ slug introuvable")</f>
        <v>⚠ slug introuvable</v>
      </c>
      <c r="N117" t="str">
        <v>OC-DB30 DRAWER</v>
      </c>
      <c r="Q117" s="1">
        <v>0</v>
      </c>
      <c r="R117" s="1">
        <f>Q117/11.25</f>
        <v>0</v>
      </c>
      <c r="S117" s="1">
        <f>R117*1.4</f>
        <v>0</v>
      </c>
      <c r="T117" s="1">
        <f>S117*1.1</f>
        <v>0</v>
      </c>
      <c r="U117" s="1">
        <f>T117*1.2</f>
        <v>0</v>
      </c>
      <c r="V117" s="1">
        <f>U117*1.2</f>
        <v>0</v>
      </c>
      <c r="W117" s="1">
        <f>V117*1.1</f>
        <v>0</v>
      </c>
      <c r="X117" s="1">
        <f>W117</f>
        <v>0</v>
      </c>
      <c r="Y117" s="2">
        <v>0.4</v>
      </c>
      <c r="Z117" s="1">
        <f>X117*(1+Y117)</f>
        <v>0</v>
      </c>
      <c r="AA117">
        <v>30</v>
      </c>
      <c r="AC117">
        <v>27</v>
      </c>
      <c r="AD117">
        <v>2</v>
      </c>
      <c r="AE117">
        <v>3</v>
      </c>
    </row>
    <row r="118" hidden="1">
      <c r="A118" t="str">
        <v>S8-OCM8</v>
      </c>
      <c r="B118" t="b">
        <v>1</v>
      </c>
      <c r="E118" t="b">
        <f>IF(OR(B118=TRUE,C118=TRUE,D118=TRUE),FALSE,TRUE)</f>
        <v>0</v>
      </c>
      <c r="G118" t="str">
        <v>OCM</v>
      </c>
      <c r="H118" t="str">
        <f>IF(ISNUMBER(SEARCH("muf",A118)),"Chêne blanc","Blanc")</f>
        <v>Blanc</v>
      </c>
      <c r="I118" t="str">
        <f>CONCAT(G118,IF(H118="","",IF(H118="Blanc","-CW","-WWO")))</f>
        <v>OCM-CW</v>
      </c>
      <c r="J118" t="str">
        <f>IFERROR(VLOOKUP(K118,Categories!$A$2:$C$41,2,FALSE()),"⚠ slug introuvable")</f>
        <v>fillers-panels-moldings</v>
      </c>
      <c r="K118" t="str">
        <v>moldings</v>
      </c>
      <c r="L118" t="str">
        <f>IFERROR(VLOOKUP(J118,Categories!$A$2:$C$41,3,FALSE()),"⚠ slug introuvable")</f>
        <v>Fillers, panneaux &amp; moulures</v>
      </c>
      <c r="M118" t="str">
        <f>IFERROR(VLOOKUP(K118,Categories!$A$2:$C$41,3,FALSE()),"⚠ slug introuvable")</f>
        <v>Moulures</v>
      </c>
      <c r="N118" t="str">
        <v>Moulure de coin extérieur</v>
      </c>
      <c r="O118" t="str">
        <f>N118</f>
        <v>Moulure de coin extérieur</v>
      </c>
      <c r="P118" t="str">
        <f>O118</f>
        <v>Moulure de coin extérieur</v>
      </c>
      <c r="Q118" s="1">
        <v>0</v>
      </c>
      <c r="R118" s="1">
        <f>Q118/11.25</f>
        <v>0</v>
      </c>
      <c r="S118" s="1">
        <f>R118*1.4</f>
        <v>0</v>
      </c>
      <c r="T118" s="1">
        <f>S118*1.1</f>
        <v>0</v>
      </c>
      <c r="U118" s="1">
        <f>T118*1.2</f>
        <v>0</v>
      </c>
      <c r="V118" s="1">
        <f>U118*1.2</f>
        <v>0</v>
      </c>
      <c r="W118" s="1">
        <f>V118*1.1</f>
        <v>0</v>
      </c>
      <c r="X118" s="1">
        <f>W118</f>
        <v>0</v>
      </c>
      <c r="Y118" s="2">
        <v>0.4</v>
      </c>
      <c r="Z118" s="1">
        <f>X118*(1+Y118)</f>
        <v>0</v>
      </c>
      <c r="AA118">
        <v>96</v>
      </c>
      <c r="AB118">
        <v>0.75</v>
      </c>
      <c r="AC118">
        <v>0.75</v>
      </c>
      <c r="AF118" t="str">
        <v>Outside corner molding</v>
      </c>
      <c r="AG118" t="str">
        <v>Outside corner molding</v>
      </c>
    </row>
    <row r="119" hidden="1">
      <c r="A119" t="str">
        <v>S8-OCM8-muf</v>
      </c>
      <c r="B119" t="b">
        <v>1</v>
      </c>
      <c r="E119" t="b">
        <f>IF(OR(B119=TRUE,C119=TRUE,D119=TRUE),FALSE,TRUE)</f>
        <v>0</v>
      </c>
      <c r="G119" t="str">
        <v>OCM</v>
      </c>
      <c r="H119" t="str">
        <f>IF(ISNUMBER(SEARCH("muf",A119)),"Chêne blanc","Blanc")</f>
        <v>Chêne blanc</v>
      </c>
      <c r="I119" t="str">
        <f>CONCAT(G119,IF(H119="","",IF(H119="Blanc","-CW","-WWO")))</f>
        <v>OCM-WWO</v>
      </c>
      <c r="J119" t="str">
        <f>IFERROR(VLOOKUP(K119,Categories!$A$2:$C$41,2,FALSE()),"⚠ slug introuvable")</f>
        <v>fillers-panels-moldings</v>
      </c>
      <c r="K119" t="str">
        <v>moldings</v>
      </c>
      <c r="L119" t="str">
        <f>IFERROR(VLOOKUP(J119,Categories!$A$2:$C$41,3,FALSE()),"⚠ slug introuvable")</f>
        <v>Fillers, panneaux &amp; moulures</v>
      </c>
      <c r="M119" t="str">
        <f>IFERROR(VLOOKUP(K119,Categories!$A$2:$C$41,3,FALSE()),"⚠ slug introuvable")</f>
        <v>Moulures</v>
      </c>
      <c r="N119" t="str">
        <v>Moulure de coin extérieur</v>
      </c>
      <c r="O119" t="str">
        <f>N119</f>
        <v>Moulure de coin extérieur</v>
      </c>
      <c r="P119" t="str">
        <f>O119</f>
        <v>Moulure de coin extérieur</v>
      </c>
      <c r="Q119" s="1">
        <v>76</v>
      </c>
      <c r="R119" s="1">
        <f>Q119/11.25</f>
        <v>6.7555555555555555</v>
      </c>
      <c r="S119" s="1">
        <f>R119*1.4</f>
        <v>9.457777777777777</v>
      </c>
      <c r="T119" s="1">
        <f>S119*1.1</f>
        <v>10.403555555555554</v>
      </c>
      <c r="U119" s="1">
        <f>T119*1.2</f>
        <v>12.484266666666665</v>
      </c>
      <c r="V119" s="1">
        <f>U119*1.2</f>
        <v>14.981119999999997</v>
      </c>
      <c r="W119" s="1">
        <f>V119*1.1</f>
        <v>16.479232</v>
      </c>
      <c r="X119" s="1">
        <f>W119</f>
        <v>16.479232</v>
      </c>
      <c r="Y119" s="2">
        <v>0.4</v>
      </c>
      <c r="Z119" s="1">
        <f>X119*(1+Y119)</f>
        <v>23.070924799999997</v>
      </c>
      <c r="AF119" t="str">
        <v>Outside corner molding</v>
      </c>
      <c r="AG119" t="str">
        <v>Outside corner molding</v>
      </c>
    </row>
    <row r="120" hidden="1">
      <c r="A120" t="str">
        <v>S8-ROD15</v>
      </c>
      <c r="E120" t="b">
        <f>IF(OR(B120=TRUE,C120=TRUE,D120=TRUE),FALSE,TRUE)</f>
        <v>1</v>
      </c>
      <c r="F120" t="str">
        <v>right price ?</v>
      </c>
      <c r="G120" t="str">
        <v>ROD15</v>
      </c>
      <c r="I120" t="str">
        <f>CONCAT(G120,IF(H120="","",IF(H120="Blanc","-CW","-WWO")))</f>
        <v>ROD15</v>
      </c>
      <c r="J120" t="str">
        <v>accessories</v>
      </c>
      <c r="K120" t="str">
        <v>roll-out-drawer</v>
      </c>
      <c r="L120" t="str">
        <f>IFERROR(VLOOKUP(J120,Categories!$A$2:$C$41,3,FALSE()),"⚠ slug introuvable")</f>
        <v>Accessoires</v>
      </c>
      <c r="M120" t="str">
        <f>IFERROR(VLOOKUP(K120,Categories!$A$2:$C$41,3,FALSE()),"⚠ slug introuvable")</f>
        <v>Tiroir coulissant</v>
      </c>
      <c r="N120" t="str">
        <v>Tiroir coulissant</v>
      </c>
      <c r="O120" t="str">
        <f>CONCAT(N120," (",AA120,""")")</f>
        <v>Tiroir coulissant (15")</v>
      </c>
      <c r="P120" t="str">
        <f>CONCAT(N120," (",AA120,""")")</f>
        <v>Tiroir coulissant (15")</v>
      </c>
      <c r="Q120" s="1">
        <v>800</v>
      </c>
      <c r="R120" s="1">
        <f>Q120/11.25</f>
        <v>71.11111111111111</v>
      </c>
      <c r="S120" s="1">
        <f>R120*1.4</f>
        <v>99.55555555555556</v>
      </c>
      <c r="T120" s="1">
        <f>S120*1.1</f>
        <v>109.51111111111112</v>
      </c>
      <c r="U120" s="1">
        <f>T120*1.2</f>
        <v>131.41333333333333</v>
      </c>
      <c r="V120" s="1">
        <f>U120*1.2</f>
        <v>157.696</v>
      </c>
      <c r="W120" s="1">
        <f>V120*1.1</f>
        <v>173.46560000000002</v>
      </c>
      <c r="X120" s="1">
        <f>W120</f>
        <v>173.46560000000002</v>
      </c>
      <c r="Y120" s="2">
        <v>0.4</v>
      </c>
      <c r="Z120" s="1">
        <f>X120*(1+Y120)</f>
        <v>242.85184</v>
      </c>
      <c r="AA120">
        <v>15</v>
      </c>
      <c r="AD120" t="str">
        <v>N/A</v>
      </c>
      <c r="AE120" t="str">
        <v>N/A</v>
      </c>
      <c r="AF120" t="str">
        <v>Pull-out drawer (15")</v>
      </c>
      <c r="AG120" t="str">
        <v>Pull-out drawer (15")</v>
      </c>
    </row>
    <row r="121" hidden="1">
      <c r="A121" t="str">
        <v>S8-ROD18</v>
      </c>
      <c r="E121" t="b">
        <f>IF(OR(B121=TRUE,C121=TRUE,D121=TRUE),FALSE,TRUE)</f>
        <v>1</v>
      </c>
      <c r="F121" t="str">
        <v>right price ?</v>
      </c>
      <c r="G121" t="str">
        <v>ROD18</v>
      </c>
      <c r="I121" t="str">
        <f>CONCAT(G121,IF(H121="","",IF(H121="Blanc","-CW","-WWO")))</f>
        <v>ROD18</v>
      </c>
      <c r="J121" t="str">
        <v>accessories</v>
      </c>
      <c r="K121" t="str">
        <v>roll-out-drawer</v>
      </c>
      <c r="L121" t="str">
        <f>IFERROR(VLOOKUP(J121,Categories!$A$2:$C$41,3,FALSE()),"⚠ slug introuvable")</f>
        <v>Accessoires</v>
      </c>
      <c r="M121" t="str">
        <f>IFERROR(VLOOKUP(K121,Categories!$A$2:$C$41,3,FALSE()),"⚠ slug introuvable")</f>
        <v>Tiroir coulissant</v>
      </c>
      <c r="N121" t="str">
        <v>Tiroir coulissant</v>
      </c>
      <c r="O121" t="str">
        <f>CONCAT(N121," (",AA121,""")")</f>
        <v>Tiroir coulissant (18")</v>
      </c>
      <c r="P121" t="str">
        <f>CONCAT(N121," (",AA121,""")")</f>
        <v>Tiroir coulissant (18")</v>
      </c>
      <c r="Q121" s="1">
        <v>800</v>
      </c>
      <c r="R121" s="1">
        <f>Q121/11.25</f>
        <v>71.11111111111111</v>
      </c>
      <c r="S121" s="1">
        <f>R121*1.4</f>
        <v>99.55555555555556</v>
      </c>
      <c r="T121" s="1">
        <f>S121*1.1</f>
        <v>109.51111111111112</v>
      </c>
      <c r="U121" s="1">
        <f>T121*1.2</f>
        <v>131.41333333333333</v>
      </c>
      <c r="V121" s="1">
        <f>U121*1.2</f>
        <v>157.696</v>
      </c>
      <c r="W121" s="1">
        <f>V121*1.1</f>
        <v>173.46560000000002</v>
      </c>
      <c r="X121" s="1">
        <f>W121</f>
        <v>173.46560000000002</v>
      </c>
      <c r="Y121" s="2">
        <v>0.4</v>
      </c>
      <c r="Z121" s="1">
        <f>X121*(1+Y121)</f>
        <v>242.85184</v>
      </c>
      <c r="AA121">
        <v>18</v>
      </c>
      <c r="AD121" t="str">
        <v>N/A</v>
      </c>
      <c r="AE121" t="str">
        <v>N/A</v>
      </c>
      <c r="AF121" t="str">
        <v>Pull-out drawer (18")</v>
      </c>
      <c r="AG121" t="str">
        <v>Pull-out drawer (18")</v>
      </c>
    </row>
    <row r="122" hidden="1">
      <c r="A122" t="str">
        <v>S8-ROD21</v>
      </c>
      <c r="E122" t="b">
        <f>IF(OR(B122=TRUE,C122=TRUE,D122=TRUE),FALSE,TRUE)</f>
        <v>1</v>
      </c>
      <c r="F122" t="str">
        <v>right price ?</v>
      </c>
      <c r="G122" t="str">
        <v>ROD21</v>
      </c>
      <c r="I122" t="str">
        <f>CONCAT(G122,IF(H122="","",IF(H122="Blanc","-CW","-WWO")))</f>
        <v>ROD21</v>
      </c>
      <c r="J122" t="str">
        <v>accessories</v>
      </c>
      <c r="K122" t="str">
        <v>roll-out-drawer</v>
      </c>
      <c r="L122" t="str">
        <f>IFERROR(VLOOKUP(J122,Categories!$A$2:$C$41,3,FALSE()),"⚠ slug introuvable")</f>
        <v>Accessoires</v>
      </c>
      <c r="M122" t="str">
        <f>IFERROR(VLOOKUP(K122,Categories!$A$2:$C$41,3,FALSE()),"⚠ slug introuvable")</f>
        <v>Tiroir coulissant</v>
      </c>
      <c r="N122" t="str">
        <v>Tiroir coulissant</v>
      </c>
      <c r="O122" t="str">
        <f>CONCAT(N122," (",AA122,""")")</f>
        <v>Tiroir coulissant (21")</v>
      </c>
      <c r="P122" t="str">
        <f>CONCAT(N122," (",AA122,""")")</f>
        <v>Tiroir coulissant (21")</v>
      </c>
      <c r="Q122" s="1">
        <v>800</v>
      </c>
      <c r="R122" s="1">
        <f>Q122/11.25</f>
        <v>71.11111111111111</v>
      </c>
      <c r="S122" s="1">
        <f>R122*1.4</f>
        <v>99.55555555555556</v>
      </c>
      <c r="T122" s="1">
        <f>S122*1.1</f>
        <v>109.51111111111112</v>
      </c>
      <c r="U122" s="1">
        <f>T122*1.2</f>
        <v>131.41333333333333</v>
      </c>
      <c r="V122" s="1">
        <f>U122*1.2</f>
        <v>157.696</v>
      </c>
      <c r="W122" s="1">
        <f>V122*1.1</f>
        <v>173.46560000000002</v>
      </c>
      <c r="X122" s="1">
        <f>W122</f>
        <v>173.46560000000002</v>
      </c>
      <c r="Y122" s="2">
        <v>0.4</v>
      </c>
      <c r="Z122" s="1">
        <f>X122*(1+Y122)</f>
        <v>242.85184</v>
      </c>
      <c r="AA122">
        <v>21</v>
      </c>
      <c r="AD122" t="str">
        <v>N/A</v>
      </c>
      <c r="AE122" t="str">
        <v>N/A</v>
      </c>
      <c r="AF122" t="str">
        <v>Pull-out drawer (21")</v>
      </c>
      <c r="AG122" t="str">
        <v>Pull-out drawer (21")</v>
      </c>
    </row>
    <row r="123">
      <c r="A123" t="str">
        <v>S8-ROD24</v>
      </c>
      <c r="E123" t="b">
        <f>IF(OR(B123=TRUE,C123=TRUE,D123=TRUE),FALSE,TRUE)</f>
        <v>1</v>
      </c>
      <c r="F123" t="str">
        <v>right price ?</v>
      </c>
      <c r="G123" t="str">
        <v>ROD24</v>
      </c>
      <c r="I123" t="str">
        <f>CONCAT(G123,IF(H123="","",IF(H123="Blanc","-CW","-WWO")))</f>
        <v>ROD24</v>
      </c>
      <c r="J123" t="str">
        <v>accessories</v>
      </c>
      <c r="K123" t="str">
        <v>roll-out-drawer</v>
      </c>
      <c r="L123" t="str">
        <f>IFERROR(VLOOKUP(J123,Categories!$A$2:$C$41,3,FALSE()),"⚠ slug introuvable")</f>
        <v>Accessoires</v>
      </c>
      <c r="M123" t="str">
        <f>IFERROR(VLOOKUP(K123,Categories!$A$2:$C$41,3,FALSE()),"⚠ slug introuvable")</f>
        <v>Tiroir coulissant</v>
      </c>
      <c r="N123" t="str">
        <v>Tiroir coulissant</v>
      </c>
      <c r="O123" t="str">
        <f>CONCAT(N123," (",AA123,""")")</f>
        <v>Tiroir coulissant (24")</v>
      </c>
      <c r="P123" t="str">
        <f>CONCAT(N123," (",AA123,""")")</f>
        <v>Tiroir coulissant (24")</v>
      </c>
      <c r="Q123" s="1">
        <v>1000</v>
      </c>
      <c r="R123" s="1">
        <f>Q123/11.25</f>
        <v>88.88888888888889</v>
      </c>
      <c r="S123" s="1">
        <f>R123*1.4</f>
        <v>124.44444444444443</v>
      </c>
      <c r="T123" s="1">
        <f>S123*1.1</f>
        <v>136.88888888888889</v>
      </c>
      <c r="U123" s="1">
        <f>T123*1.2</f>
        <v>164.26666666666665</v>
      </c>
      <c r="V123" s="1">
        <f>U123*1.2</f>
        <v>197.11999999999998</v>
      </c>
      <c r="W123" s="1">
        <f>V123*1.1</f>
        <v>216.832</v>
      </c>
      <c r="X123" s="1">
        <f>W123</f>
        <v>216.832</v>
      </c>
      <c r="Y123" s="2">
        <v>0.4</v>
      </c>
      <c r="Z123" s="1">
        <f>X123*(1+Y123)</f>
        <v>303.5648</v>
      </c>
      <c r="AA123">
        <v>24</v>
      </c>
      <c r="AD123" t="str">
        <v>N/A</v>
      </c>
      <c r="AE123" t="str">
        <v>N/A</v>
      </c>
      <c r="AF123" t="str">
        <v>Pull-out drawer (24")</v>
      </c>
      <c r="AG123" t="str">
        <v>Pull-out drawer (24")</v>
      </c>
    </row>
    <row r="124" hidden="1">
      <c r="A124" t="str">
        <v>S8-ROD27</v>
      </c>
      <c r="E124" t="b">
        <f>IF(OR(B124=TRUE,C124=TRUE,D124=TRUE),FALSE,TRUE)</f>
        <v>1</v>
      </c>
      <c r="F124" t="str">
        <v>right price ?</v>
      </c>
      <c r="G124" t="str">
        <v>ROD27</v>
      </c>
      <c r="I124" t="str">
        <f>CONCAT(G124,IF(H124="","",IF(H124="Blanc","-CW","-WWO")))</f>
        <v>ROD27</v>
      </c>
      <c r="J124" t="str">
        <v>accessories</v>
      </c>
      <c r="K124" t="str">
        <v>roll-out-drawer</v>
      </c>
      <c r="L124" t="str">
        <f>IFERROR(VLOOKUP(J124,Categories!$A$2:$C$41,3,FALSE()),"⚠ slug introuvable")</f>
        <v>Accessoires</v>
      </c>
      <c r="M124" t="str">
        <f>IFERROR(VLOOKUP(K124,Categories!$A$2:$C$41,3,FALSE()),"⚠ slug introuvable")</f>
        <v>Tiroir coulissant</v>
      </c>
      <c r="N124" t="str">
        <v>Tiroir coulissant</v>
      </c>
      <c r="O124" t="str">
        <f>CONCAT(N124," (",AA124,""")")</f>
        <v>Tiroir coulissant (27")</v>
      </c>
      <c r="P124" t="str">
        <f>CONCAT(N124," (",AA124,""")")</f>
        <v>Tiroir coulissant (27")</v>
      </c>
      <c r="Q124" s="1">
        <v>1200</v>
      </c>
      <c r="R124" s="1">
        <f>Q124/11.25</f>
        <v>106.66666666666667</v>
      </c>
      <c r="S124" s="1">
        <f>R124*1.4</f>
        <v>149.33333333333334</v>
      </c>
      <c r="T124" s="1">
        <f>S124*1.1</f>
        <v>164.26666666666668</v>
      </c>
      <c r="U124" s="1">
        <f>T124*1.2</f>
        <v>197.12</v>
      </c>
      <c r="V124" s="1">
        <f>U124*1.2</f>
        <v>236.54399999999998</v>
      </c>
      <c r="W124" s="1">
        <f>V124*1.1</f>
        <v>260.1984</v>
      </c>
      <c r="X124" s="1">
        <f>W124</f>
        <v>260.1984</v>
      </c>
      <c r="Y124" s="2">
        <v>0.4</v>
      </c>
      <c r="Z124" s="1">
        <f>X124*(1+Y124)</f>
        <v>364.27775999999994</v>
      </c>
      <c r="AA124">
        <v>27</v>
      </c>
      <c r="AD124" t="str">
        <v>N/A</v>
      </c>
      <c r="AE124" t="str">
        <v>N/A</v>
      </c>
      <c r="AF124" t="str">
        <v>Pull-out drawer (27")</v>
      </c>
      <c r="AG124" t="str">
        <v>Pull-out drawer (27")</v>
      </c>
    </row>
    <row r="125" hidden="1">
      <c r="A125" t="str">
        <v>S8-ROD30</v>
      </c>
      <c r="E125" t="b">
        <f>IF(OR(B125=TRUE,C125=TRUE,D125=TRUE),FALSE,TRUE)</f>
        <v>1</v>
      </c>
      <c r="F125" t="str">
        <v>right price ?</v>
      </c>
      <c r="G125" t="str">
        <v>ROD30</v>
      </c>
      <c r="I125" t="str">
        <f>CONCAT(G125,IF(H125="","",IF(H125="Blanc","-CW","-WWO")))</f>
        <v>ROD30</v>
      </c>
      <c r="J125" t="str">
        <v>accessories</v>
      </c>
      <c r="K125" t="str">
        <v>roll-out-drawer</v>
      </c>
      <c r="L125" t="str">
        <f>IFERROR(VLOOKUP(J125,Categories!$A$2:$C$41,3,FALSE()),"⚠ slug introuvable")</f>
        <v>Accessoires</v>
      </c>
      <c r="M125" t="str">
        <f>IFERROR(VLOOKUP(K125,Categories!$A$2:$C$41,3,FALSE()),"⚠ slug introuvable")</f>
        <v>Tiroir coulissant</v>
      </c>
      <c r="N125" t="str">
        <v>Tiroir coulissant</v>
      </c>
      <c r="O125" t="str">
        <f>CONCAT(N125," (",AA125,""")")</f>
        <v>Tiroir coulissant (30")</v>
      </c>
      <c r="P125" t="str">
        <f>CONCAT(N125," (",AA125,""")")</f>
        <v>Tiroir coulissant (30")</v>
      </c>
      <c r="Q125" s="1">
        <v>1200</v>
      </c>
      <c r="R125" s="1">
        <f>Q125/11.25</f>
        <v>106.66666666666667</v>
      </c>
      <c r="S125" s="1">
        <f>R125*1.4</f>
        <v>149.33333333333334</v>
      </c>
      <c r="T125" s="1">
        <f>S125*1.1</f>
        <v>164.26666666666668</v>
      </c>
      <c r="U125" s="1">
        <f>T125*1.2</f>
        <v>197.12</v>
      </c>
      <c r="V125" s="1">
        <f>U125*1.2</f>
        <v>236.54399999999998</v>
      </c>
      <c r="W125" s="1">
        <f>V125*1.1</f>
        <v>260.1984</v>
      </c>
      <c r="X125" s="1">
        <f>W125</f>
        <v>260.1984</v>
      </c>
      <c r="Y125" s="2">
        <v>0.4</v>
      </c>
      <c r="Z125" s="1">
        <f>X125*(1+Y125)</f>
        <v>364.27775999999994</v>
      </c>
      <c r="AA125">
        <v>30</v>
      </c>
      <c r="AD125" t="str">
        <v>N/A</v>
      </c>
      <c r="AE125" t="str">
        <v>N/A</v>
      </c>
      <c r="AF125" t="str">
        <v>Pull-out drawer (30")</v>
      </c>
      <c r="AG125" t="str">
        <v>Pull-out drawer (30")</v>
      </c>
    </row>
    <row r="126" hidden="1">
      <c r="A126" t="str">
        <v>S8-ROD33</v>
      </c>
      <c r="E126" t="b">
        <f>IF(OR(B126=TRUE,C126=TRUE,D126=TRUE),FALSE,TRUE)</f>
        <v>1</v>
      </c>
      <c r="F126" t="str">
        <v>right price ?</v>
      </c>
      <c r="G126" t="str">
        <v>ROD33</v>
      </c>
      <c r="I126" t="str">
        <f>CONCAT(G126,IF(H126="","",IF(H126="Blanc","-CW","-WWO")))</f>
        <v>ROD33</v>
      </c>
      <c r="J126" t="str">
        <v>accessories</v>
      </c>
      <c r="K126" t="str">
        <v>roll-out-drawer</v>
      </c>
      <c r="L126" t="str">
        <f>IFERROR(VLOOKUP(J126,Categories!$A$2:$C$41,3,FALSE()),"⚠ slug introuvable")</f>
        <v>Accessoires</v>
      </c>
      <c r="M126" t="str">
        <f>IFERROR(VLOOKUP(K126,Categories!$A$2:$C$41,3,FALSE()),"⚠ slug introuvable")</f>
        <v>Tiroir coulissant</v>
      </c>
      <c r="N126" t="str">
        <v>Tiroir coulissant</v>
      </c>
      <c r="O126" t="str">
        <f>CONCAT(N126," (",AA126,""")")</f>
        <v>Tiroir coulissant (33")</v>
      </c>
      <c r="P126" t="str">
        <f>CONCAT(N126," (",AA126,""")")</f>
        <v>Tiroir coulissant (33")</v>
      </c>
      <c r="Q126" s="1">
        <v>1200</v>
      </c>
      <c r="R126" s="1">
        <f>Q126/11.25</f>
        <v>106.66666666666667</v>
      </c>
      <c r="S126" s="1">
        <f>R126*1.4</f>
        <v>149.33333333333334</v>
      </c>
      <c r="T126" s="1">
        <f>S126*1.1</f>
        <v>164.26666666666668</v>
      </c>
      <c r="U126" s="1">
        <f>T126*1.2</f>
        <v>197.12</v>
      </c>
      <c r="V126" s="1">
        <f>U126*1.2</f>
        <v>236.54399999999998</v>
      </c>
      <c r="W126" s="1">
        <f>V126*1.1</f>
        <v>260.1984</v>
      </c>
      <c r="X126" s="1">
        <f>W126</f>
        <v>260.1984</v>
      </c>
      <c r="Y126" s="2">
        <v>0.4</v>
      </c>
      <c r="Z126" s="1">
        <f>X126*(1+Y126)</f>
        <v>364.27775999999994</v>
      </c>
      <c r="AA126">
        <v>33</v>
      </c>
      <c r="AD126" t="str">
        <v>N/A</v>
      </c>
      <c r="AE126" t="str">
        <v>N/A</v>
      </c>
      <c r="AF126" t="str">
        <v>Pull-out drawer (33")</v>
      </c>
      <c r="AG126" t="str">
        <v>Pull-out drawer (33")</v>
      </c>
    </row>
    <row r="127" hidden="1">
      <c r="A127" t="str">
        <v>S8-ROD36</v>
      </c>
      <c r="E127" t="b">
        <f>IF(OR(B127=TRUE,C127=TRUE,D127=TRUE),FALSE,TRUE)</f>
        <v>1</v>
      </c>
      <c r="F127" t="str">
        <v>right price ?</v>
      </c>
      <c r="G127" t="str">
        <v>ROD36</v>
      </c>
      <c r="I127" t="str">
        <f>CONCAT(G127,IF(H127="","",IF(H127="Blanc","-CW","-WWO")))</f>
        <v>ROD36</v>
      </c>
      <c r="J127" t="str">
        <v>accessories</v>
      </c>
      <c r="K127" t="str">
        <v>roll-out-drawer</v>
      </c>
      <c r="L127" t="str">
        <f>IFERROR(VLOOKUP(J127,Categories!$A$2:$C$41,3,FALSE()),"⚠ slug introuvable")</f>
        <v>Accessoires</v>
      </c>
      <c r="M127" t="str">
        <f>IFERROR(VLOOKUP(K127,Categories!$A$2:$C$41,3,FALSE()),"⚠ slug introuvable")</f>
        <v>Tiroir coulissant</v>
      </c>
      <c r="N127" t="str">
        <v>Tiroir coulissant</v>
      </c>
      <c r="O127" t="str">
        <f>CONCAT(N127," (",AA127,""")")</f>
        <v>Tiroir coulissant (36")</v>
      </c>
      <c r="P127" t="str">
        <f>CONCAT(N127," (",AA127,""")")</f>
        <v>Tiroir coulissant (36")</v>
      </c>
      <c r="Q127" s="1">
        <v>1200</v>
      </c>
      <c r="R127" s="1">
        <f>Q127/11.25</f>
        <v>106.66666666666667</v>
      </c>
      <c r="S127" s="1">
        <f>R127*1.4</f>
        <v>149.33333333333334</v>
      </c>
      <c r="T127" s="1">
        <f>S127*1.1</f>
        <v>164.26666666666668</v>
      </c>
      <c r="U127" s="1">
        <f>T127*1.2</f>
        <v>197.12</v>
      </c>
      <c r="V127" s="1">
        <f>U127*1.2</f>
        <v>236.54399999999998</v>
      </c>
      <c r="W127" s="1">
        <f>V127*1.1</f>
        <v>260.1984</v>
      </c>
      <c r="X127" s="1">
        <f>W127</f>
        <v>260.1984</v>
      </c>
      <c r="Y127" s="2">
        <v>0.4</v>
      </c>
      <c r="Z127" s="1">
        <f>X127*(1+Y127)</f>
        <v>364.27775999999994</v>
      </c>
      <c r="AA127">
        <v>36</v>
      </c>
      <c r="AD127" t="str">
        <v>N/A</v>
      </c>
      <c r="AE127" t="str">
        <v>N/A</v>
      </c>
      <c r="AF127" t="str">
        <v>Pull-out drawer (36")</v>
      </c>
      <c r="AG127" t="str">
        <v>Pull-out drawer (36")</v>
      </c>
    </row>
    <row r="128" hidden="1">
      <c r="A128" t="str">
        <v>S8-RRP103.527 3/4</v>
      </c>
      <c r="E128" t="b">
        <f>IF(OR(B128=TRUE,C128=TRUE,D128=TRUE),FALSE,TRUE)</f>
        <v>1</v>
      </c>
      <c r="G128" t="str">
        <v>RP103.5-27-0.75</v>
      </c>
      <c r="H128" t="str">
        <f>IF(ISNUMBER(SEARCH("muf",A128)),"Chêne blanc","Blanc")</f>
        <v>Blanc</v>
      </c>
      <c r="I128" t="str">
        <f>CONCAT(G128,IF(H128="","",IF(H128="Blanc","-CW","-WWO")))</f>
        <v>RP103.5-27-0.75-CW</v>
      </c>
      <c r="J128" t="str">
        <f>IFERROR(VLOOKUP(K128,Categories!$A$2:$C$41,2,FALSE()),"⚠ slug introuvable")</f>
        <v>fillers-panels-moldings</v>
      </c>
      <c r="K128" t="str">
        <v>return-panels-appliance</v>
      </c>
      <c r="L128" t="str">
        <f>IFERROR(VLOOKUP(J128,Categories!$A$2:$C$41,3,FALSE()),"⚠ slug introuvable")</f>
        <v>Fillers, panneaux &amp; moulures</v>
      </c>
      <c r="M128" t="str">
        <f>IFERROR(VLOOKUP(K128,Categories!$A$2:$C$41,3,FALSE()),"⚠ slug introuvable")</f>
        <v>Panneau latéral pour électros</v>
      </c>
      <c r="N128" t="str">
        <v>Panneau latéral pour réfrigérateur</v>
      </c>
      <c r="O128" t="str">
        <f>CONCAT(N128," (",AB128,""" x ",AC128,""" x ",AA128,""")")</f>
        <v>Panneau latéral pour réfrigérateur (103.5" x 27" x 0.75")</v>
      </c>
      <c r="P128" t="str">
        <f>CONCAT("Réfrigérateur"," (",AB128,""" x ",AC128,""" x ",AA128,""")")</f>
        <v>Réfrigérateur (103.5" x 27" x 0.75")</v>
      </c>
      <c r="Q128" s="1">
        <v>710</v>
      </c>
      <c r="R128" s="1">
        <f>Q128/11.25</f>
        <v>63.111111111111114</v>
      </c>
      <c r="S128" s="1">
        <f>R128*1.4</f>
        <v>88.35555555555555</v>
      </c>
      <c r="T128" s="1">
        <f>S128*1.1</f>
        <v>97.19111111111111</v>
      </c>
      <c r="U128" s="1">
        <f>T128*1.2</f>
        <v>116.62933333333334</v>
      </c>
      <c r="V128" s="1">
        <f>U128*1.2</f>
        <v>139.9552</v>
      </c>
      <c r="W128" s="1">
        <f>V128*1.1</f>
        <v>153.95072</v>
      </c>
      <c r="X128" s="1">
        <f>W128</f>
        <v>153.95072</v>
      </c>
      <c r="Y128" s="2">
        <v>0.4</v>
      </c>
      <c r="Z128" s="1">
        <f>X128*(1+Y128)</f>
        <v>215.53100799999999</v>
      </c>
      <c r="AA128">
        <v>0.75</v>
      </c>
      <c r="AB128">
        <v>103.5</v>
      </c>
      <c r="AC128">
        <v>27</v>
      </c>
      <c r="AD128" t="str">
        <v>N/A</v>
      </c>
      <c r="AE128" t="str">
        <v>N/A</v>
      </c>
      <c r="AF128" t="str">
        <v>Side panel for fridge (103.5" x 27" x 0.75")</v>
      </c>
      <c r="AG128" t="str">
        <v>Refrigerator (103.5" x 27" x 0.75")</v>
      </c>
    </row>
    <row r="129" hidden="1">
      <c r="A129" t="str">
        <v>S8-RRP9627 7/8</v>
      </c>
      <c r="E129" t="b">
        <f>IF(OR(B129=TRUE,C129=TRUE,D129=TRUE),FALSE,TRUE)</f>
        <v>1</v>
      </c>
      <c r="G129" t="str">
        <v>RP96-27-0.875</v>
      </c>
      <c r="H129" t="str">
        <f>IF(ISNUMBER(SEARCH("muf",A129)),"Chêne blanc","Blanc")</f>
        <v>Blanc</v>
      </c>
      <c r="I129" t="str">
        <f>CONCAT(G129,IF(H129="","",IF(H129="Blanc","-CW","-WWO")))</f>
        <v>RP96-27-0.875-CW</v>
      </c>
      <c r="J129" t="str">
        <f>IFERROR(VLOOKUP(K129,Categories!$A$2:$C$41,2,FALSE()),"⚠ slug introuvable")</f>
        <v>fillers-panels-moldings</v>
      </c>
      <c r="K129" t="str">
        <v>return-panels-appliance</v>
      </c>
      <c r="L129" t="str">
        <f>IFERROR(VLOOKUP(J129,Categories!$A$2:$C$41,3,FALSE()),"⚠ slug introuvable")</f>
        <v>Fillers, panneaux &amp; moulures</v>
      </c>
      <c r="M129" t="str">
        <f>IFERROR(VLOOKUP(K129,Categories!$A$2:$C$41,3,FALSE()),"⚠ slug introuvable")</f>
        <v>Panneau latéral pour électros</v>
      </c>
      <c r="N129" t="str">
        <v>Panneau latéral pour réfrigérateur</v>
      </c>
      <c r="O129" t="str">
        <f>CONCAT(N129," (",AB129,""" x ",AC129,""" x ",AA129,""")")</f>
        <v>Panneau latéral pour réfrigérateur (96" x 27" x 0.875")</v>
      </c>
      <c r="P129" t="str">
        <f>CONCAT("Réfrigérateur"," (",AB129,""" x ",AC129,""" x ",AA129,""")")</f>
        <v>Réfrigérateur (96" x 27" x 0.875")</v>
      </c>
      <c r="Q129" s="1">
        <v>656</v>
      </c>
      <c r="R129" s="1">
        <f>Q129/11.25</f>
        <v>58.31111111111111</v>
      </c>
      <c r="S129" s="1">
        <f>R129*1.4</f>
        <v>81.63555555555556</v>
      </c>
      <c r="T129" s="1">
        <f>S129*1.1</f>
        <v>89.79911111111112</v>
      </c>
      <c r="U129" s="1">
        <f>T129*1.2</f>
        <v>107.75893333333333</v>
      </c>
      <c r="V129" s="1">
        <f>U129*1.2</f>
        <v>129.31072</v>
      </c>
      <c r="W129" s="1">
        <f>V129*1.1</f>
        <v>142.241792</v>
      </c>
      <c r="X129" s="1">
        <f>W129</f>
        <v>142.241792</v>
      </c>
      <c r="Y129" s="2">
        <v>0.4</v>
      </c>
      <c r="Z129" s="1">
        <f>X129*(1+Y129)</f>
        <v>199.13850879999998</v>
      </c>
      <c r="AA129">
        <v>0.875</v>
      </c>
      <c r="AB129">
        <v>96</v>
      </c>
      <c r="AC129">
        <v>27</v>
      </c>
      <c r="AD129" t="str">
        <v>N/A</v>
      </c>
      <c r="AE129" t="str">
        <v>N/A</v>
      </c>
      <c r="AF129" t="str">
        <v>Side panel for fridge (96" x 27" x 0.875")</v>
      </c>
      <c r="AG129" t="str">
        <v>Refrigerator (96" x 27" x 0.875")</v>
      </c>
    </row>
    <row r="130" hidden="1">
      <c r="A130" t="str">
        <v>S8-RRP9625-muf</v>
      </c>
      <c r="E130" t="b">
        <f>IF(OR(B130=TRUE,C130=TRUE,D130=TRUE),FALSE,TRUE)</f>
        <v>1</v>
      </c>
      <c r="F130" t="str">
        <v>dimensions</v>
      </c>
      <c r="G130" t="str">
        <v>RP9625</v>
      </c>
      <c r="H130" t="str">
        <f>IF(ISNUMBER(SEARCH("muf",A130)),"Chêne blanc","Blanc")</f>
        <v>Chêne blanc</v>
      </c>
      <c r="I130" t="str">
        <f>CONCAT(G130,IF(H130="","",IF(H130="Blanc","-CW","-WWO")))</f>
        <v>RP9625-WWO</v>
      </c>
      <c r="J130" t="str">
        <f>IFERROR(VLOOKUP(K130,Categories!$A$2:$C$41,2,FALSE()),"⚠ slug introuvable")</f>
        <v>fillers-panels-moldings</v>
      </c>
      <c r="K130" t="str">
        <v>return-panels-appliance</v>
      </c>
      <c r="L130" t="str">
        <f>IFERROR(VLOOKUP(J130,Categories!$A$2:$C$41,3,FALSE()),"⚠ slug introuvable")</f>
        <v>Fillers, panneaux &amp; moulures</v>
      </c>
      <c r="M130" t="str">
        <f>IFERROR(VLOOKUP(K130,Categories!$A$2:$C$41,3,FALSE()),"⚠ slug introuvable")</f>
        <v>Panneau latéral pour électros</v>
      </c>
      <c r="N130" t="str">
        <v>Panneau latéral pour réfrigérateur</v>
      </c>
      <c r="O130" t="str">
        <f>CONCAT(N130," (",AB130,""" x ",AC130,""" x ",AA130,""")")</f>
        <v>Panneau latéral pour réfrigérateur (" x " x ")</v>
      </c>
      <c r="P130" t="str">
        <f>CONCAT("Réfrigérateur"," (",AB130,""" x ",AC130,""" x ",AA130,""")")</f>
        <v>Réfrigérateur (" x " x ")</v>
      </c>
      <c r="Q130" s="1">
        <v>1067</v>
      </c>
      <c r="R130" s="1">
        <f>Q130/11.25</f>
        <v>94.84444444444445</v>
      </c>
      <c r="S130" s="1">
        <f>R130*1.4</f>
        <v>132.78222222222223</v>
      </c>
      <c r="T130" s="1">
        <f>S130*1.1</f>
        <v>146.06044444444447</v>
      </c>
      <c r="U130" s="1">
        <f>T130*1.2</f>
        <v>175.27253333333337</v>
      </c>
      <c r="V130" s="1">
        <f>U130*1.2</f>
        <v>210.32704000000004</v>
      </c>
      <c r="W130" s="1">
        <f>V130*1.1</f>
        <v>231.35974400000006</v>
      </c>
      <c r="X130" s="1">
        <f>W130</f>
        <v>231.35974400000006</v>
      </c>
      <c r="Y130" s="2">
        <v>0.4</v>
      </c>
      <c r="Z130" s="1">
        <f>X130*(1+Y130)</f>
        <v>323.90364160000007</v>
      </c>
      <c r="AD130" t="str">
        <v>N/A</v>
      </c>
      <c r="AE130" t="str">
        <v>N/A</v>
      </c>
      <c r="AF130" t="str">
        <v>Side panel for fridge (" x " x ")</v>
      </c>
      <c r="AG130" t="str">
        <v>Refrigerator (" x " x ")</v>
      </c>
    </row>
    <row r="131" hidden="1">
      <c r="A131" t="str">
        <v>S8-SM1.5</v>
      </c>
      <c r="B131" t="b">
        <v>1</v>
      </c>
      <c r="E131" t="b">
        <f>IF(OR(B131=TRUE,C131=TRUE,D131=TRUE),FALSE,TRUE)</f>
        <v>0</v>
      </c>
      <c r="H131" t="str">
        <f>IF(ISNUMBER(SEARCH("muf",A131)),"Chêne blanc","Blanc")</f>
        <v>Blanc</v>
      </c>
      <c r="I131" t="str">
        <f>CONCAT(G131,IF(H131="","",IF(H131="Blanc","-CW","-WWO")))</f>
        <v>-CW</v>
      </c>
      <c r="J131" t="str">
        <f>IFERROR(VLOOKUP(K131,Categories!$A$2:$C$41,2,FALSE()),"⚠ slug introuvable")</f>
        <v>fillers-panels-moldings</v>
      </c>
      <c r="K131" t="str">
        <v>moldings</v>
      </c>
      <c r="L131" t="str">
        <f>IFERROR(VLOOKUP(J131,Categories!$A$2:$C$41,3,FALSE()),"⚠ slug introuvable")</f>
        <v>Fillers, panneaux &amp; moulures</v>
      </c>
      <c r="M131" t="str">
        <f>IFERROR(VLOOKUP(K131,Categories!$A$2:$C$41,3,FALSE()),"⚠ slug introuvable")</f>
        <v>Moulures</v>
      </c>
      <c r="O131">
        <f>N131</f>
        <v>0</v>
      </c>
      <c r="P131">
        <f>O131</f>
        <v>0</v>
      </c>
      <c r="Q131" s="1">
        <v>0</v>
      </c>
      <c r="R131" s="1">
        <f>Q131/11.25</f>
        <v>0</v>
      </c>
      <c r="S131" s="1">
        <f>R131*1.4</f>
        <v>0</v>
      </c>
      <c r="T131" s="1">
        <f>S131*1.1</f>
        <v>0</v>
      </c>
      <c r="U131" s="1">
        <f>T131*1.2</f>
        <v>0</v>
      </c>
      <c r="V131" s="1">
        <f>U131*1.2</f>
        <v>0</v>
      </c>
      <c r="W131" s="1">
        <f>V131*1.1</f>
        <v>0</v>
      </c>
      <c r="X131" s="1">
        <f>W131</f>
        <v>0</v>
      </c>
      <c r="Y131" s="2">
        <v>0.4</v>
      </c>
      <c r="Z131" s="1">
        <f>X131*(1+Y131)</f>
        <v>0</v>
      </c>
      <c r="AA131">
        <v>96</v>
      </c>
      <c r="AB131">
        <v>1.5</v>
      </c>
      <c r="AC131">
        <v>0.375</v>
      </c>
    </row>
    <row r="132" hidden="1">
      <c r="A132" t="str">
        <v>S8-SM1.5X120</v>
      </c>
      <c r="B132" t="b">
        <v>1</v>
      </c>
      <c r="E132" t="b">
        <f>IF(OR(B132=TRUE,C132=TRUE,D132=TRUE),FALSE,TRUE)</f>
        <v>0</v>
      </c>
      <c r="H132" t="str">
        <f>IF(ISNUMBER(SEARCH("muf",A132)),"Chêne blanc","Blanc")</f>
        <v>Blanc</v>
      </c>
      <c r="I132" t="str">
        <f>CONCAT(G132,IF(H132="","",IF(H132="Blanc","-CW","-WWO")))</f>
        <v>-CW</v>
      </c>
      <c r="J132" t="str">
        <f>IFERROR(VLOOKUP(K132,Categories!$A$2:$C$41,2,FALSE()),"⚠ slug introuvable")</f>
        <v>fillers-panels-moldings</v>
      </c>
      <c r="K132" t="str">
        <v>moldings</v>
      </c>
      <c r="L132" t="str">
        <f>IFERROR(VLOOKUP(J132,Categories!$A$2:$C$41,3,FALSE()),"⚠ slug introuvable")</f>
        <v>Fillers, panneaux &amp; moulures</v>
      </c>
      <c r="M132" t="str">
        <f>IFERROR(VLOOKUP(K132,Categories!$A$2:$C$41,3,FALSE()),"⚠ slug introuvable")</f>
        <v>Moulures</v>
      </c>
      <c r="O132">
        <f>N132</f>
        <v>0</v>
      </c>
      <c r="P132">
        <f>O132</f>
        <v>0</v>
      </c>
      <c r="Q132" s="1">
        <v>0</v>
      </c>
      <c r="R132" s="1">
        <f>Q132/11.25</f>
        <v>0</v>
      </c>
      <c r="S132" s="1">
        <f>R132*1.4</f>
        <v>0</v>
      </c>
      <c r="T132" s="1">
        <f>S132*1.1</f>
        <v>0</v>
      </c>
      <c r="U132" s="1">
        <f>T132*1.2</f>
        <v>0</v>
      </c>
      <c r="V132" s="1">
        <f>U132*1.2</f>
        <v>0</v>
      </c>
      <c r="W132" s="1">
        <f>V132*1.1</f>
        <v>0</v>
      </c>
      <c r="X132" s="1">
        <f>W132</f>
        <v>0</v>
      </c>
      <c r="Y132" s="2">
        <v>0.4</v>
      </c>
      <c r="Z132" s="1">
        <f>X132*(1+Y132)</f>
        <v>0</v>
      </c>
      <c r="AA132">
        <v>120</v>
      </c>
      <c r="AB132">
        <v>1.5</v>
      </c>
      <c r="AC132">
        <v>0.375</v>
      </c>
    </row>
    <row r="133" hidden="1">
      <c r="A133" t="str">
        <v>S8-SP06</v>
      </c>
      <c r="E133" t="b">
        <f>IF(OR(B133=TRUE,C133=TRUE,D133=TRUE),FALSE,TRUE)</f>
        <v>1</v>
      </c>
      <c r="G133" t="str">
        <v>DRSPBC06</v>
      </c>
      <c r="H133" t="str">
        <f>IF(ISNUMBER(SEARCH("muf",A133)),"Chêne blanc","Blanc")</f>
        <v>Blanc</v>
      </c>
      <c r="I133" t="str">
        <f>CONCAT(G133,IF(H133="","",IF(H133="Blanc","-CW","-WWO")))</f>
        <v>DRSPBC06-CW</v>
      </c>
      <c r="J133" t="str">
        <f>IFERROR(VLOOKUP(K133,Categories!$A$2:$C$41,2,FALSE()),"⚠ slug introuvable")</f>
        <v>base-cabinet</v>
      </c>
      <c r="K133" t="str">
        <v>base-cabinet-spice-rack-pull-out</v>
      </c>
      <c r="L133" t="str">
        <f>IFERROR(VLOOKUP(J133,Categories!$A$2:$C$41,3,FALSE()),"⚠ slug introuvable")</f>
        <v>Armoire du bas</v>
      </c>
      <c r="M133" t="str">
        <f>IFERROR(VLOOKUP(K133,Categories!$A$2:$C$41,3,FALSE()),"⚠ slug introuvable")</f>
        <v>Range-épices coulissant</v>
      </c>
      <c r="N133" t="str">
        <v>Armoire de cuisine du bas avec range-épices coulissant</v>
      </c>
      <c r="O133" t="str">
        <f>CONCAT(N133," (",AA133,""")")</f>
        <v>Armoire de cuisine du bas avec range-épices coulissant (6")</v>
      </c>
      <c r="P133" t="str">
        <f>CONCAT("Range-épices coulissant"," (",AA133,""")")</f>
        <v>Range-épices coulissant (6")</v>
      </c>
      <c r="Q133" s="1">
        <v>497</v>
      </c>
      <c r="R133" s="1">
        <f>Q133/11.25</f>
        <v>44.17777777777778</v>
      </c>
      <c r="S133" s="1">
        <f>R133*1.4</f>
        <v>61.84888888888889</v>
      </c>
      <c r="T133" s="1">
        <f>S133*1.1</f>
        <v>68.03377777777779</v>
      </c>
      <c r="U133" s="1">
        <f>T133*1.2</f>
        <v>81.64053333333334</v>
      </c>
      <c r="V133" s="1">
        <f>U133*1.2</f>
        <v>97.96864000000001</v>
      </c>
      <c r="W133" s="1">
        <f>V133*1.1</f>
        <v>107.76550400000002</v>
      </c>
      <c r="X133" s="1">
        <f>W133</f>
        <v>107.76550400000002</v>
      </c>
      <c r="Y133" s="2">
        <v>0.4</v>
      </c>
      <c r="Z133" s="1">
        <f>X133*(1+Y133)</f>
        <v>150.8717056</v>
      </c>
      <c r="AA133">
        <v>6</v>
      </c>
      <c r="AB133">
        <v>34.5</v>
      </c>
      <c r="AC133">
        <v>24</v>
      </c>
      <c r="AD133">
        <v>0</v>
      </c>
      <c r="AE133">
        <v>1</v>
      </c>
      <c r="AF133" t="str">
        <v>Base kitchen cabinet with pull-out spice rack (6")</v>
      </c>
      <c r="AG133" t="str">
        <v>Pull-out spice rack (6")</v>
      </c>
    </row>
    <row r="134" hidden="1">
      <c r="A134" t="str">
        <v>S8-SP09</v>
      </c>
      <c r="E134" t="b">
        <f>IF(OR(B134=TRUE,C134=TRUE,D134=TRUE),FALSE,TRUE)</f>
        <v>1</v>
      </c>
      <c r="G134" t="str">
        <v>DRSPBC09</v>
      </c>
      <c r="H134" t="str">
        <f>IF(ISNUMBER(SEARCH("muf",A134)),"Chêne blanc","Blanc")</f>
        <v>Blanc</v>
      </c>
      <c r="I134" t="str">
        <f>CONCAT(G134,IF(H134="","",IF(H134="Blanc","-CW","-WWO")))</f>
        <v>DRSPBC09-CW</v>
      </c>
      <c r="J134" t="str">
        <f>IFERROR(VLOOKUP(K134,Categories!$A$2:$C$41,2,FALSE()),"⚠ slug introuvable")</f>
        <v>base-cabinet</v>
      </c>
      <c r="K134" t="str">
        <v>base-cabinet-spice-rack-pull-out</v>
      </c>
      <c r="L134" t="str">
        <f>IFERROR(VLOOKUP(J134,Categories!$A$2:$C$41,3,FALSE()),"⚠ slug introuvable")</f>
        <v>Armoire du bas</v>
      </c>
      <c r="M134" t="str">
        <f>IFERROR(VLOOKUP(K134,Categories!$A$2:$C$41,3,FALSE()),"⚠ slug introuvable")</f>
        <v>Range-épices coulissant</v>
      </c>
      <c r="N134" t="str">
        <v>Armoire de cuisine du bas avec range-épices coulissant</v>
      </c>
      <c r="O134" t="str">
        <f>CONCAT(N134," (",AA134,""")")</f>
        <v>Armoire de cuisine du bas avec range-épices coulissant (9")</v>
      </c>
      <c r="P134" t="str">
        <f>CONCAT("Range-épices coulissant"," (",AA134,""")")</f>
        <v>Range-épices coulissant (9")</v>
      </c>
      <c r="Q134" s="1">
        <v>625</v>
      </c>
      <c r="R134" s="1">
        <f>Q134/11.25</f>
        <v>55.55555555555556</v>
      </c>
      <c r="S134" s="1">
        <f>R134*1.4</f>
        <v>77.77777777777777</v>
      </c>
      <c r="T134" s="1">
        <f>S134*1.1</f>
        <v>85.55555555555556</v>
      </c>
      <c r="U134" s="1">
        <f>T134*1.2</f>
        <v>102.66666666666667</v>
      </c>
      <c r="V134" s="1">
        <f>U134*1.2</f>
        <v>123.2</v>
      </c>
      <c r="W134" s="1">
        <f>V134*1.1</f>
        <v>135.52</v>
      </c>
      <c r="X134" s="1">
        <f>W134</f>
        <v>135.52</v>
      </c>
      <c r="Y134" s="2">
        <v>0.4</v>
      </c>
      <c r="Z134" s="1">
        <f>X134*(1+Y134)</f>
        <v>189.728</v>
      </c>
      <c r="AA134">
        <v>9</v>
      </c>
      <c r="AB134">
        <v>34.5</v>
      </c>
      <c r="AC134">
        <v>24</v>
      </c>
      <c r="AD134">
        <v>0</v>
      </c>
      <c r="AE134">
        <v>1</v>
      </c>
      <c r="AF134" t="str">
        <v>Base kitchen cabinet with pull-out spice rack (9")</v>
      </c>
      <c r="AG134" t="str">
        <v>Pull-out spice rack (9")</v>
      </c>
    </row>
    <row r="135" hidden="1">
      <c r="A135" t="str">
        <v>S8-SP09-muf</v>
      </c>
      <c r="E135" t="b">
        <f>IF(OR(B135=TRUE,C135=TRUE,D135=TRUE),FALSE,TRUE)</f>
        <v>1</v>
      </c>
      <c r="G135" t="str">
        <v>DRSPBC09</v>
      </c>
      <c r="H135" t="str">
        <f>IF(ISNUMBER(SEARCH("muf",A135)),"Chêne blanc","Blanc")</f>
        <v>Chêne blanc</v>
      </c>
      <c r="I135" t="str">
        <f>CONCAT(G135,IF(H135="","",IF(H135="Blanc","-CW","-WWO")))</f>
        <v>DRSPBC09-WWO</v>
      </c>
      <c r="J135" t="str">
        <f>IFERROR(VLOOKUP(K135,Categories!$A$2:$C$41,2,FALSE()),"⚠ slug introuvable")</f>
        <v>base-cabinet</v>
      </c>
      <c r="K135" t="str">
        <v>base-cabinet-spice-rack-pull-out</v>
      </c>
      <c r="L135" t="str">
        <f>IFERROR(VLOOKUP(J135,Categories!$A$2:$C$41,3,FALSE()),"⚠ slug introuvable")</f>
        <v>Armoire du bas</v>
      </c>
      <c r="M135" t="str">
        <f>IFERROR(VLOOKUP(K135,Categories!$A$2:$C$41,3,FALSE()),"⚠ slug introuvable")</f>
        <v>Range-épices coulissant</v>
      </c>
      <c r="N135" t="str">
        <v>Armoire de cuisine du bas avec range-épices coulissant</v>
      </c>
      <c r="O135" t="str">
        <f>CONCAT(N135," (",AA135,""")")</f>
        <v>Armoire de cuisine du bas avec range-épices coulissant (9")</v>
      </c>
      <c r="P135" t="str">
        <f>CONCAT("Range-épices coulissant"," (",AA135,""")")</f>
        <v>Range-épices coulissant (9")</v>
      </c>
      <c r="Q135" s="1">
        <v>677.36</v>
      </c>
      <c r="R135" s="1">
        <f>Q135/11.25</f>
        <v>60.20977777777778</v>
      </c>
      <c r="S135" s="1">
        <f>R135*1.4</f>
        <v>84.2936888888889</v>
      </c>
      <c r="T135" s="1">
        <f>S135*1.1</f>
        <v>92.7230577777778</v>
      </c>
      <c r="U135" s="1">
        <f>T135*1.2</f>
        <v>111.26766933333336</v>
      </c>
      <c r="V135" s="1">
        <f>U135*1.2</f>
        <v>133.52120320000003</v>
      </c>
      <c r="W135" s="1">
        <f>V135*1.1</f>
        <v>146.87332352000004</v>
      </c>
      <c r="X135" s="1">
        <f>W135</f>
        <v>146.87332352000004</v>
      </c>
      <c r="Y135" s="2">
        <v>0.4</v>
      </c>
      <c r="Z135" s="1">
        <f>X135*(1+Y135)</f>
        <v>205.62265292800004</v>
      </c>
      <c r="AA135">
        <v>9</v>
      </c>
      <c r="AB135">
        <v>34.5</v>
      </c>
      <c r="AC135">
        <v>24</v>
      </c>
      <c r="AD135">
        <v>0</v>
      </c>
      <c r="AE135">
        <v>1</v>
      </c>
      <c r="AF135" t="str">
        <v>Base kitchen cabinet with pull-out spice rack (9")</v>
      </c>
      <c r="AG135" t="str">
        <v>Pull-out spice rack (9")</v>
      </c>
    </row>
    <row r="136" hidden="1">
      <c r="A136" t="str">
        <v>S8-SP12</v>
      </c>
      <c r="E136" t="b">
        <f>IF(OR(B136=TRUE,C136=TRUE,D136=TRUE),FALSE,TRUE)</f>
        <v>1</v>
      </c>
      <c r="G136" t="str">
        <v>DRSPBC12</v>
      </c>
      <c r="H136" t="str">
        <f>IF(ISNUMBER(SEARCH("muf",A136)),"Chêne blanc","Blanc")</f>
        <v>Blanc</v>
      </c>
      <c r="I136" t="str">
        <f>CONCAT(G136,IF(H136="","",IF(H136="Blanc","-CW","-WWO")))</f>
        <v>DRSPBC12-CW</v>
      </c>
      <c r="J136" t="str">
        <f>IFERROR(VLOOKUP(K136,Categories!$A$2:$C$41,2,FALSE()),"⚠ slug introuvable")</f>
        <v>base-cabinet</v>
      </c>
      <c r="K136" t="str">
        <v>base-cabinet-spice-rack-pull-out</v>
      </c>
      <c r="L136" t="str">
        <f>IFERROR(VLOOKUP(J136,Categories!$A$2:$C$41,3,FALSE()),"⚠ slug introuvable")</f>
        <v>Armoire du bas</v>
      </c>
      <c r="M136" t="str">
        <f>IFERROR(VLOOKUP(K136,Categories!$A$2:$C$41,3,FALSE()),"⚠ slug introuvable")</f>
        <v>Range-épices coulissant</v>
      </c>
      <c r="N136" t="str">
        <v>Armoire de cuisine du bas avec range-épices coulissant</v>
      </c>
      <c r="O136" t="str">
        <f>CONCAT(N136," (",AA136,""")")</f>
        <v>Armoire de cuisine du bas avec range-épices coulissant (12")</v>
      </c>
      <c r="P136" t="str">
        <f>CONCAT("Range-épices coulissant"," (",AA136,""")")</f>
        <v>Range-épices coulissant (12")</v>
      </c>
      <c r="Q136" s="1">
        <v>720</v>
      </c>
      <c r="R136" s="1">
        <f>Q136/11.25</f>
        <v>64</v>
      </c>
      <c r="S136" s="1">
        <f>R136*1.4</f>
        <v>89.6</v>
      </c>
      <c r="T136" s="1">
        <f>S136*1.1</f>
        <v>98.56</v>
      </c>
      <c r="U136" s="1">
        <f>T136*1.2</f>
        <v>118.27199999999999</v>
      </c>
      <c r="V136" s="1">
        <f>U136*1.2</f>
        <v>141.92639999999997</v>
      </c>
      <c r="W136" s="1">
        <f>V136*1.1</f>
        <v>156.11903999999998</v>
      </c>
      <c r="X136" s="1">
        <f>W136</f>
        <v>156.11903999999998</v>
      </c>
      <c r="Y136" s="2">
        <v>0.4</v>
      </c>
      <c r="Z136" s="1">
        <f>X136*(1+Y136)</f>
        <v>218.56665599999997</v>
      </c>
      <c r="AA136">
        <v>12</v>
      </c>
      <c r="AB136">
        <v>34.5</v>
      </c>
      <c r="AC136">
        <v>24</v>
      </c>
      <c r="AD136">
        <v>0</v>
      </c>
      <c r="AE136">
        <v>1</v>
      </c>
      <c r="AF136" t="str">
        <v>Base kitchen cabinet with pull-out spice rack (12")</v>
      </c>
      <c r="AG136" t="str">
        <v>Pull-out spice rack (12")</v>
      </c>
    </row>
    <row r="137" hidden="1">
      <c r="A137" t="str">
        <v>S8-SP12-muf</v>
      </c>
      <c r="E137" t="b">
        <f>IF(OR(B137=TRUE,C137=TRUE,D137=TRUE),FALSE,TRUE)</f>
        <v>1</v>
      </c>
      <c r="G137" t="str">
        <v>DRSPBC12</v>
      </c>
      <c r="H137" t="str">
        <f>IF(ISNUMBER(SEARCH("muf",A137)),"Chêne blanc","Blanc")</f>
        <v>Chêne blanc</v>
      </c>
      <c r="I137" t="str">
        <f>CONCAT(G137,IF(H137="","",IF(H137="Blanc","-CW","-WWO")))</f>
        <v>DRSPBC12-WWO</v>
      </c>
      <c r="J137" t="str">
        <f>IFERROR(VLOOKUP(K137,Categories!$A$2:$C$41,2,FALSE()),"⚠ slug introuvable")</f>
        <v>base-cabinet</v>
      </c>
      <c r="K137" t="str">
        <v>base-cabinet-spice-rack-pull-out</v>
      </c>
      <c r="L137" t="str">
        <f>IFERROR(VLOOKUP(J137,Categories!$A$2:$C$41,3,FALSE()),"⚠ slug introuvable")</f>
        <v>Armoire du bas</v>
      </c>
      <c r="M137" t="str">
        <f>IFERROR(VLOOKUP(K137,Categories!$A$2:$C$41,3,FALSE()),"⚠ slug introuvable")</f>
        <v>Range-épices coulissant</v>
      </c>
      <c r="N137" t="str">
        <v>Armoire de cuisine du bas avec range-épices coulissant</v>
      </c>
      <c r="O137" t="str">
        <f>CONCAT(N137," (",AA137,""")")</f>
        <v>Armoire de cuisine du bas avec range-épices coulissant (12")</v>
      </c>
      <c r="P137" t="str">
        <f>CONCAT("Range-épices coulissant"," (",AA137,""")")</f>
        <v>Range-épices coulissant (12")</v>
      </c>
      <c r="Q137" s="1">
        <v>750.38</v>
      </c>
      <c r="R137" s="1">
        <f>Q137/11.25</f>
        <v>66.70044444444444</v>
      </c>
      <c r="S137" s="1">
        <f>R137*1.4</f>
        <v>93.38062222222221</v>
      </c>
      <c r="T137" s="1">
        <f>S137*1.1</f>
        <v>102.71868444444445</v>
      </c>
      <c r="U137" s="1">
        <f>T137*1.2</f>
        <v>123.26242133333334</v>
      </c>
      <c r="V137" s="1">
        <f>U137*1.2</f>
        <v>147.9149056</v>
      </c>
      <c r="W137" s="1">
        <f>V137*1.1</f>
        <v>162.70639616</v>
      </c>
      <c r="X137" s="1">
        <f>W137</f>
        <v>162.70639616</v>
      </c>
      <c r="Y137" s="2">
        <v>0.4</v>
      </c>
      <c r="Z137" s="1">
        <f>X137*(1+Y137)</f>
        <v>227.78895462399998</v>
      </c>
      <c r="AA137">
        <v>12</v>
      </c>
      <c r="AB137">
        <v>34.5</v>
      </c>
      <c r="AC137">
        <v>24</v>
      </c>
      <c r="AD137">
        <v>0</v>
      </c>
      <c r="AE137">
        <v>1</v>
      </c>
      <c r="AF137" t="str">
        <v>Base kitchen cabinet with pull-out spice rack (12")</v>
      </c>
      <c r="AG137" t="str">
        <v>Pull-out spice rack (12")</v>
      </c>
    </row>
    <row r="138">
      <c r="A138" t="str">
        <v>S8-TK8</v>
      </c>
      <c r="E138" t="b">
        <f>IF(OR(B138=TRUE,C138=TRUE,D138=TRUE),FALSE,TRUE)</f>
        <v>1</v>
      </c>
      <c r="G138" t="str">
        <v>TK</v>
      </c>
      <c r="H138" t="str">
        <f>IF(ISNUMBER(SEARCH("muf",A138)),"Chêne blanc","Blanc")</f>
        <v>Blanc</v>
      </c>
      <c r="I138" t="str">
        <f>CONCAT(G138,IF(H138="","",IF(H138="Blanc","-CW","-WWO")))</f>
        <v>TK-CW</v>
      </c>
      <c r="J138" t="str">
        <f>IFERROR(VLOOKUP(K138,Categories!$A$2:$C$41,2,FALSE()),"⚠ slug introuvable")</f>
        <v>fillers-panels-moldings</v>
      </c>
      <c r="K138" t="str">
        <v>panels</v>
      </c>
      <c r="L138" t="str">
        <f>IFERROR(VLOOKUP(J138,Categories!$A$2:$C$41,3,FALSE()),"⚠ slug introuvable")</f>
        <v>Fillers, panneaux &amp; moulures</v>
      </c>
      <c r="M138" t="str">
        <f>IFERROR(VLOOKUP(K138,Categories!$A$2:$C$41,3,FALSE()),"⚠ slug introuvable")</f>
        <v>Panneaux</v>
      </c>
      <c r="N138" t="str">
        <v>Coup-de-pied</v>
      </c>
      <c r="O138" t="str">
        <v>Coup-de-pied</v>
      </c>
      <c r="P138" t="str">
        <v>Coup-de-pied</v>
      </c>
      <c r="Q138" s="1">
        <v>42</v>
      </c>
      <c r="R138" s="1">
        <f>Q138/11.25</f>
        <v>3.7333333333333334</v>
      </c>
      <c r="S138" s="1">
        <f>R138*1.4</f>
        <v>5.226666666666667</v>
      </c>
      <c r="T138" s="1">
        <f>S138*1.1</f>
        <v>5.749333333333333</v>
      </c>
      <c r="U138" s="1">
        <f>T138*1.2</f>
        <v>6.8991999999999996</v>
      </c>
      <c r="V138" s="1">
        <f>U138*1.2</f>
        <v>8.279039999999998</v>
      </c>
      <c r="W138" s="1">
        <f>V138*1.1</f>
        <v>9.106943999999999</v>
      </c>
      <c r="X138" s="1">
        <f>W138</f>
        <v>9.106943999999999</v>
      </c>
      <c r="Y138" s="2">
        <v>0.4</v>
      </c>
      <c r="Z138" s="1">
        <f>X138*(1+Y138)</f>
        <v>12.749721599999997</v>
      </c>
      <c r="AA138">
        <v>4.5</v>
      </c>
      <c r="AB138">
        <v>96</v>
      </c>
      <c r="AC138">
        <v>0.25</v>
      </c>
      <c r="AD138" t="str">
        <v>N/A</v>
      </c>
      <c r="AE138" t="str">
        <v>N/A</v>
      </c>
      <c r="AF138" t="str">
        <v>Toe kick</v>
      </c>
      <c r="AG138" t="str">
        <v>Toe kick</v>
      </c>
    </row>
    <row r="139" hidden="1">
      <c r="A139" t="str">
        <v>S8-TK8-muf</v>
      </c>
      <c r="E139" t="b">
        <f>IF(OR(B139=TRUE,C139=TRUE,D139=TRUE),FALSE,TRUE)</f>
        <v>1</v>
      </c>
      <c r="G139" t="str">
        <v>TK</v>
      </c>
      <c r="H139" t="str">
        <f>IF(ISNUMBER(SEARCH("muf",A139)),"Chêne blanc","Blanc")</f>
        <v>Chêne blanc</v>
      </c>
      <c r="I139" t="str">
        <f>CONCAT(G139,IF(H139="","",IF(H139="Blanc","-CW","-WWO")))</f>
        <v>TK-WWO</v>
      </c>
      <c r="J139" t="str">
        <f>IFERROR(VLOOKUP(K139,Categories!$A$2:$C$41,2,FALSE()),"⚠ slug introuvable")</f>
        <v>fillers-panels-moldings</v>
      </c>
      <c r="K139" t="str">
        <v>panels</v>
      </c>
      <c r="L139" t="str">
        <f>IFERROR(VLOOKUP(J139,Categories!$A$2:$C$41,3,FALSE()),"⚠ slug introuvable")</f>
        <v>Fillers, panneaux &amp; moulures</v>
      </c>
      <c r="M139" t="str">
        <f>IFERROR(VLOOKUP(K139,Categories!$A$2:$C$41,3,FALSE()),"⚠ slug introuvable")</f>
        <v>Panneaux</v>
      </c>
      <c r="N139" t="str">
        <v>Coup-de-pied</v>
      </c>
      <c r="O139" t="str">
        <v>Coup-de-pied</v>
      </c>
      <c r="P139" t="str">
        <v>Coup-de-pied</v>
      </c>
      <c r="Q139" s="1">
        <v>122.625</v>
      </c>
      <c r="R139" s="1">
        <f>Q139/11.25</f>
        <v>10.9</v>
      </c>
      <c r="S139" s="1">
        <f>R139*1.4</f>
        <v>15.26</v>
      </c>
      <c r="T139" s="1">
        <f>S139*1.1</f>
        <v>16.786</v>
      </c>
      <c r="U139" s="1">
        <f>T139*1.2</f>
        <v>20.1432</v>
      </c>
      <c r="V139" s="1">
        <f>U139*1.2</f>
        <v>24.17184</v>
      </c>
      <c r="W139" s="1">
        <f>V139*1.1</f>
        <v>26.589024000000002</v>
      </c>
      <c r="X139" s="1">
        <f>W139</f>
        <v>26.589024000000002</v>
      </c>
      <c r="Y139" s="2">
        <v>0.4</v>
      </c>
      <c r="Z139" s="1">
        <f>X139*(1+Y139)</f>
        <v>37.2246336</v>
      </c>
      <c r="AA139">
        <v>4.5</v>
      </c>
      <c r="AB139">
        <v>96</v>
      </c>
      <c r="AC139">
        <v>0.25</v>
      </c>
      <c r="AD139" t="str">
        <v>N/A</v>
      </c>
      <c r="AE139" t="str">
        <v>N/A</v>
      </c>
      <c r="AF139" t="str">
        <v>Toe kick</v>
      </c>
      <c r="AG139" t="str">
        <v>Toe kick</v>
      </c>
    </row>
    <row r="140" hidden="1">
      <c r="A140" t="str">
        <v>S8-VDB1221</v>
      </c>
      <c r="E140" t="b">
        <f>IF(OR(B140=TRUE,C140=TRUE,D140=TRUE),FALSE,TRUE)</f>
        <v>1</v>
      </c>
      <c r="G140" t="str">
        <v>VDRBC1221</v>
      </c>
      <c r="H140" t="str">
        <f>IF(ISNUMBER(SEARCH("muf",A140)),"Chêne blanc","Blanc")</f>
        <v>Blanc</v>
      </c>
      <c r="I140" t="str">
        <f>CONCAT(G140,IF(H140="","",IF(H140="Blanc","-CW","-WWO")))</f>
        <v>VDRBC1221-CW</v>
      </c>
      <c r="J140" t="str">
        <f>IFERROR(VLOOKUP(K140,Categories!$A$2:$C$41,2,FALSE()),"⚠ slug introuvable")</f>
        <v>bathroom-base-cabinet</v>
      </c>
      <c r="K140" t="str">
        <v>bathroom-base-cabinet-drawer</v>
      </c>
      <c r="L140" t="str">
        <f>IFERROR(VLOOKUP(J140,Categories!$A$2:$C$41,3,FALSE()),"⚠ slug introuvable")</f>
        <v>Armoire de salle de bain</v>
      </c>
      <c r="M140" t="str">
        <f>IFERROR(VLOOKUP(K140,Categories!$A$2:$C$41,3,FALSE()),"⚠ slug introuvable")</f>
        <v>Tiroir</v>
      </c>
      <c r="N140" t="str">
        <v>Armoire de salle de bain avec 3 tiroirs</v>
      </c>
      <c r="O140" t="str">
        <f>CONCAT(N140," (",AA140,""")")</f>
        <v>Armoire de salle de bain avec 3 tiroirs (12")</v>
      </c>
      <c r="P140" t="str">
        <f>CONCAT("3 tiroirs"," (",AA140,""")")</f>
        <v>3 tiroirs (12")</v>
      </c>
      <c r="Q140" s="1">
        <v>908</v>
      </c>
      <c r="R140" s="1">
        <f>Q140/11.25</f>
        <v>80.71111111111111</v>
      </c>
      <c r="S140" s="1">
        <f>R140*1.4</f>
        <v>112.99555555555554</v>
      </c>
      <c r="T140" s="1">
        <f>S140*1.1</f>
        <v>124.29511111111111</v>
      </c>
      <c r="U140" s="1">
        <f>T140*1.2</f>
        <v>149.15413333333333</v>
      </c>
      <c r="V140" s="1">
        <f>U140*1.2</f>
        <v>178.98496</v>
      </c>
      <c r="W140" s="1">
        <f>V140*1.1</f>
        <v>196.88345600000002</v>
      </c>
      <c r="X140" s="1">
        <f>W140</f>
        <v>196.88345600000002</v>
      </c>
      <c r="Y140" s="2">
        <v>0.4</v>
      </c>
      <c r="Z140" s="1">
        <f>X140*(1+Y140)</f>
        <v>275.6368384</v>
      </c>
      <c r="AA140">
        <v>12</v>
      </c>
      <c r="AB140">
        <v>34.5</v>
      </c>
      <c r="AC140">
        <v>21</v>
      </c>
      <c r="AD140">
        <v>0</v>
      </c>
      <c r="AE140">
        <v>3</v>
      </c>
      <c r="AF140" t="str">
        <v>Bathroom cabinet with 3 drawers (12")</v>
      </c>
      <c r="AG140" t="str">
        <v>3 drawers (12")</v>
      </c>
    </row>
    <row r="141" hidden="1">
      <c r="A141" t="str">
        <v>S8-VDB1221-muf</v>
      </c>
      <c r="E141" t="b">
        <f>IF(OR(B141=TRUE,C141=TRUE,D141=TRUE),FALSE,TRUE)</f>
        <v>1</v>
      </c>
      <c r="G141" t="str">
        <v>VDRBC1221</v>
      </c>
      <c r="H141" t="str">
        <f>IF(ISNUMBER(SEARCH("muf",A141)),"Chêne blanc","Blanc")</f>
        <v>Chêne blanc</v>
      </c>
      <c r="I141" t="str">
        <f>CONCAT(G141,IF(H141="","",IF(H141="Blanc","-CW","-WWO")))</f>
        <v>VDRBC1221-WWO</v>
      </c>
      <c r="J141" t="str">
        <f>IFERROR(VLOOKUP(K141,Categories!$A$2:$C$41,2,FALSE()),"⚠ slug introuvable")</f>
        <v>bathroom-base-cabinet</v>
      </c>
      <c r="K141" t="str">
        <v>bathroom-base-cabinet-drawer</v>
      </c>
      <c r="L141" t="str">
        <f>IFERROR(VLOOKUP(J141,Categories!$A$2:$C$41,3,FALSE()),"⚠ slug introuvable")</f>
        <v>Armoire de salle de bain</v>
      </c>
      <c r="M141" t="str">
        <f>IFERROR(VLOOKUP(K141,Categories!$A$2:$C$41,3,FALSE()),"⚠ slug introuvable")</f>
        <v>Tiroir</v>
      </c>
      <c r="N141" t="str">
        <v>Armoire de salle de bain avec 3 tiroirs</v>
      </c>
      <c r="O141" t="str">
        <f>CONCAT(N141," (",AA141,""")")</f>
        <v>Armoire de salle de bain avec 3 tiroirs (12")</v>
      </c>
      <c r="P141" t="str">
        <f>CONCAT("3 tiroirs"," (",AA141,""")")</f>
        <v>3 tiroirs (12")</v>
      </c>
      <c r="Q141" s="1">
        <v>1098</v>
      </c>
      <c r="R141" s="1">
        <f>Q141/11.25</f>
        <v>97.6</v>
      </c>
      <c r="S141" s="1">
        <f>R141*1.4</f>
        <v>136.64</v>
      </c>
      <c r="T141" s="1">
        <f>S141*1.1</f>
        <v>150.304</v>
      </c>
      <c r="U141" s="1">
        <f>T141*1.2</f>
        <v>180.3648</v>
      </c>
      <c r="V141" s="1">
        <f>U141*1.2</f>
        <v>216.43776</v>
      </c>
      <c r="W141" s="1">
        <f>V141*1.1</f>
        <v>238.08153600000003</v>
      </c>
      <c r="X141" s="1">
        <f>W141</f>
        <v>238.08153600000003</v>
      </c>
      <c r="Y141" s="2">
        <v>0.4</v>
      </c>
      <c r="Z141" s="1">
        <f>X141*(1+Y141)</f>
        <v>333.3141504</v>
      </c>
      <c r="AA141">
        <v>12</v>
      </c>
      <c r="AB141">
        <v>34.5</v>
      </c>
      <c r="AC141">
        <v>21</v>
      </c>
      <c r="AD141">
        <v>0</v>
      </c>
      <c r="AE141">
        <v>3</v>
      </c>
      <c r="AF141" t="str">
        <v>Bathroom cabinet with 3 drawers (12")</v>
      </c>
      <c r="AG141" t="str">
        <v>3 drawers (12")</v>
      </c>
    </row>
    <row r="142" hidden="1">
      <c r="A142" t="str">
        <v>S8-VDB1521</v>
      </c>
      <c r="E142" t="b">
        <f>IF(OR(B142=TRUE,C142=TRUE,D142=TRUE),FALSE,TRUE)</f>
        <v>1</v>
      </c>
      <c r="G142" t="str">
        <v>VDRBC1521</v>
      </c>
      <c r="H142" t="str">
        <f>IF(ISNUMBER(SEARCH("muf",A142)),"Chêne blanc","Blanc")</f>
        <v>Blanc</v>
      </c>
      <c r="I142" t="str">
        <f>CONCAT(G142,IF(H142="","",IF(H142="Blanc","-CW","-WWO")))</f>
        <v>VDRBC1521-CW</v>
      </c>
      <c r="J142" t="str">
        <f>IFERROR(VLOOKUP(K142,Categories!$A$2:$C$41,2,FALSE()),"⚠ slug introuvable")</f>
        <v>bathroom-base-cabinet</v>
      </c>
      <c r="K142" t="str">
        <v>bathroom-base-cabinet-drawer</v>
      </c>
      <c r="L142" t="str">
        <f>IFERROR(VLOOKUP(J142,Categories!$A$2:$C$41,3,FALSE()),"⚠ slug introuvable")</f>
        <v>Armoire de salle de bain</v>
      </c>
      <c r="M142" t="str">
        <f>IFERROR(VLOOKUP(K142,Categories!$A$2:$C$41,3,FALSE()),"⚠ slug introuvable")</f>
        <v>Tiroir</v>
      </c>
      <c r="N142" t="str">
        <v>Armoire de salle de bain avec 3 tiroirs</v>
      </c>
      <c r="O142" t="str">
        <f>CONCAT(N142," (",AA142,""")")</f>
        <v>Armoire de salle de bain avec 3 tiroirs (15")</v>
      </c>
      <c r="P142" t="str">
        <f>CONCAT("3 tiroirs"," (",AA142,""")")</f>
        <v>3 tiroirs (15")</v>
      </c>
      <c r="Q142" s="1">
        <v>984</v>
      </c>
      <c r="R142" s="1">
        <f>Q142/11.25</f>
        <v>87.46666666666667</v>
      </c>
      <c r="S142" s="1">
        <f>R142*1.4</f>
        <v>122.45333333333333</v>
      </c>
      <c r="T142" s="1">
        <f>S142*1.1</f>
        <v>134.69866666666667</v>
      </c>
      <c r="U142" s="1">
        <f>T142*1.2</f>
        <v>161.6384</v>
      </c>
      <c r="V142" s="1">
        <f>U142*1.2</f>
        <v>193.96607999999998</v>
      </c>
      <c r="W142" s="1">
        <f>V142*1.1</f>
        <v>213.362688</v>
      </c>
      <c r="X142" s="1">
        <f>W142</f>
        <v>213.362688</v>
      </c>
      <c r="Y142" s="2">
        <v>0.4</v>
      </c>
      <c r="Z142" s="1">
        <f>X142*(1+Y142)</f>
        <v>298.7077632</v>
      </c>
      <c r="AA142">
        <v>15</v>
      </c>
      <c r="AB142">
        <v>34.5</v>
      </c>
      <c r="AC142">
        <v>21</v>
      </c>
      <c r="AD142">
        <v>0</v>
      </c>
      <c r="AE142">
        <v>3</v>
      </c>
      <c r="AF142" t="str">
        <v>Bathroom cabinet with 3 drawers (15")</v>
      </c>
      <c r="AG142" t="str">
        <v>3 drawers (15")</v>
      </c>
    </row>
    <row r="143" hidden="1">
      <c r="A143" t="str">
        <v>S8-VDB1521-muf</v>
      </c>
      <c r="E143" t="b">
        <f>IF(OR(B143=TRUE,C143=TRUE,D143=TRUE),FALSE,TRUE)</f>
        <v>1</v>
      </c>
      <c r="G143" t="str">
        <v>VDRBC1521</v>
      </c>
      <c r="H143" t="str">
        <f>IF(ISNUMBER(SEARCH("muf",A143)),"Chêne blanc","Blanc")</f>
        <v>Chêne blanc</v>
      </c>
      <c r="I143" t="str">
        <f>CONCAT(G143,IF(H143="","",IF(H143="Blanc","-CW","-WWO")))</f>
        <v>VDRBC1521-WWO</v>
      </c>
      <c r="J143" t="str">
        <f>IFERROR(VLOOKUP(K143,Categories!$A$2:$C$41,2,FALSE()),"⚠ slug introuvable")</f>
        <v>bathroom-base-cabinet</v>
      </c>
      <c r="K143" t="str">
        <v>bathroom-base-cabinet-drawer</v>
      </c>
      <c r="L143" t="str">
        <f>IFERROR(VLOOKUP(J143,Categories!$A$2:$C$41,3,FALSE()),"⚠ slug introuvable")</f>
        <v>Armoire de salle de bain</v>
      </c>
      <c r="M143" t="str">
        <f>IFERROR(VLOOKUP(K143,Categories!$A$2:$C$41,3,FALSE()),"⚠ slug introuvable")</f>
        <v>Tiroir</v>
      </c>
      <c r="N143" t="str">
        <v>Armoire de salle de bain avec 3 tiroirs</v>
      </c>
      <c r="O143" t="str">
        <f>CONCAT(N143," (",AA143,""")")</f>
        <v>Armoire de salle de bain avec 3 tiroirs (15")</v>
      </c>
      <c r="P143" t="str">
        <f>CONCAT("3 tiroirs"," (",AA143,""")")</f>
        <v>3 tiroirs (15")</v>
      </c>
      <c r="Q143" s="1">
        <v>1202</v>
      </c>
      <c r="R143" s="1">
        <f>Q143/11.25</f>
        <v>106.84444444444445</v>
      </c>
      <c r="S143" s="1">
        <f>R143*1.4</f>
        <v>149.5822222222222</v>
      </c>
      <c r="T143" s="1">
        <f>S143*1.1</f>
        <v>164.54044444444446</v>
      </c>
      <c r="U143" s="1">
        <f>T143*1.2</f>
        <v>197.44853333333336</v>
      </c>
      <c r="V143" s="1">
        <f>U143*1.2</f>
        <v>236.93824</v>
      </c>
      <c r="W143" s="1">
        <f>V143*1.1</f>
        <v>260.632064</v>
      </c>
      <c r="X143" s="1">
        <f>W143</f>
        <v>260.632064</v>
      </c>
      <c r="Y143" s="2">
        <v>0.4</v>
      </c>
      <c r="Z143" s="1">
        <f>X143*(1+Y143)</f>
        <v>364.8848896</v>
      </c>
      <c r="AA143">
        <v>15</v>
      </c>
      <c r="AB143">
        <v>34.5</v>
      </c>
      <c r="AC143">
        <v>21</v>
      </c>
      <c r="AD143">
        <v>0</v>
      </c>
      <c r="AE143">
        <v>3</v>
      </c>
      <c r="AF143" t="str">
        <v>Bathroom cabinet with 3 drawers (15")</v>
      </c>
      <c r="AG143" t="str">
        <v>3 drawers (15")</v>
      </c>
    </row>
    <row r="144" hidden="1">
      <c r="A144" t="str">
        <v>S8-VDB1821</v>
      </c>
      <c r="E144" t="b">
        <f>IF(OR(B144=TRUE,C144=TRUE,D144=TRUE),FALSE,TRUE)</f>
        <v>1</v>
      </c>
      <c r="G144" t="str">
        <v>VDRBC1821</v>
      </c>
      <c r="H144" t="str">
        <f>IF(ISNUMBER(SEARCH("muf",A144)),"Chêne blanc","Blanc")</f>
        <v>Blanc</v>
      </c>
      <c r="I144" t="str">
        <f>CONCAT(G144,IF(H144="","",IF(H144="Blanc","-CW","-WWO")))</f>
        <v>VDRBC1821-CW</v>
      </c>
      <c r="J144" t="str">
        <f>IFERROR(VLOOKUP(K144,Categories!$A$2:$C$41,2,FALSE()),"⚠ slug introuvable")</f>
        <v>bathroom-base-cabinet</v>
      </c>
      <c r="K144" t="str">
        <v>bathroom-base-cabinet-drawer</v>
      </c>
      <c r="L144" t="str">
        <f>IFERROR(VLOOKUP(J144,Categories!$A$2:$C$41,3,FALSE()),"⚠ slug introuvable")</f>
        <v>Armoire de salle de bain</v>
      </c>
      <c r="M144" t="str">
        <f>IFERROR(VLOOKUP(K144,Categories!$A$2:$C$41,3,FALSE()),"⚠ slug introuvable")</f>
        <v>Tiroir</v>
      </c>
      <c r="N144" t="str">
        <v>Armoire de salle de bain avec 3 tiroirs</v>
      </c>
      <c r="O144" t="str">
        <f>CONCAT(N144," (",AA144,""")")</f>
        <v>Armoire de salle de bain avec 3 tiroirs (18")</v>
      </c>
      <c r="P144" t="str">
        <f>CONCAT("3 tiroirs"," (",AA144,""")")</f>
        <v>3 tiroirs (18")</v>
      </c>
      <c r="Q144" s="1">
        <v>1022</v>
      </c>
      <c r="R144" s="1">
        <f>Q144/11.25</f>
        <v>90.84444444444445</v>
      </c>
      <c r="S144" s="1">
        <f>R144*1.4</f>
        <v>127.18222222222222</v>
      </c>
      <c r="T144" s="1">
        <f>S144*1.1</f>
        <v>139.90044444444445</v>
      </c>
      <c r="U144" s="1">
        <f>T144*1.2</f>
        <v>167.88053333333332</v>
      </c>
      <c r="V144" s="1">
        <f>U144*1.2</f>
        <v>201.45663999999996</v>
      </c>
      <c r="W144" s="1">
        <f>V144*1.1</f>
        <v>221.60230399999998</v>
      </c>
      <c r="X144" s="1">
        <f>W144</f>
        <v>221.60230399999998</v>
      </c>
      <c r="Y144" s="2">
        <v>0.4</v>
      </c>
      <c r="Z144" s="1">
        <f>X144*(1+Y144)</f>
        <v>310.24322559999996</v>
      </c>
      <c r="AA144">
        <v>18</v>
      </c>
      <c r="AB144">
        <v>34.5</v>
      </c>
      <c r="AC144">
        <v>21</v>
      </c>
      <c r="AD144">
        <v>0</v>
      </c>
      <c r="AE144">
        <v>3</v>
      </c>
      <c r="AF144" t="str">
        <v>Bathroom cabinet with 3 drawers (18")</v>
      </c>
      <c r="AG144" t="str">
        <v>3 drawers (18")</v>
      </c>
    </row>
    <row r="145" hidden="1">
      <c r="A145" t="str">
        <v>S8-VDB1821-muf</v>
      </c>
      <c r="E145" t="b">
        <f>IF(OR(B145=TRUE,C145=TRUE,D145=TRUE),FALSE,TRUE)</f>
        <v>1</v>
      </c>
      <c r="G145" t="str">
        <v>VDRBC1821</v>
      </c>
      <c r="H145" t="str">
        <f>IF(ISNUMBER(SEARCH("muf",A145)),"Chêne blanc","Blanc")</f>
        <v>Chêne blanc</v>
      </c>
      <c r="I145" t="str">
        <f>CONCAT(G145,IF(H145="","",IF(H145="Blanc","-CW","-WWO")))</f>
        <v>VDRBC1821-WWO</v>
      </c>
      <c r="J145" t="str">
        <f>IFERROR(VLOOKUP(K145,Categories!$A$2:$C$41,2,FALSE()),"⚠ slug introuvable")</f>
        <v>bathroom-base-cabinet</v>
      </c>
      <c r="K145" t="str">
        <v>bathroom-base-cabinet-drawer</v>
      </c>
      <c r="L145" t="str">
        <f>IFERROR(VLOOKUP(J145,Categories!$A$2:$C$41,3,FALSE()),"⚠ slug introuvable")</f>
        <v>Armoire de salle de bain</v>
      </c>
      <c r="M145" t="str">
        <f>IFERROR(VLOOKUP(K145,Categories!$A$2:$C$41,3,FALSE()),"⚠ slug introuvable")</f>
        <v>Tiroir</v>
      </c>
      <c r="N145" t="str">
        <v>Armoire de salle de bain avec 3 tiroirs</v>
      </c>
      <c r="O145" t="str">
        <f>CONCAT(N145," (",AA145,""")")</f>
        <v>Armoire de salle de bain avec 3 tiroirs (18")</v>
      </c>
      <c r="P145" t="str">
        <f>CONCAT("3 tiroirs"," (",AA145,""")")</f>
        <v>3 tiroirs (18")</v>
      </c>
      <c r="Q145" s="1">
        <v>1253</v>
      </c>
      <c r="R145" s="1">
        <f>Q145/11.25</f>
        <v>111.37777777777778</v>
      </c>
      <c r="S145" s="1">
        <f>R145*1.4</f>
        <v>155.92888888888888</v>
      </c>
      <c r="T145" s="1">
        <f>S145*1.1</f>
        <v>171.52177777777777</v>
      </c>
      <c r="U145" s="1">
        <f>T145*1.2</f>
        <v>205.82613333333333</v>
      </c>
      <c r="V145" s="1">
        <f>U145*1.2</f>
        <v>246.99136</v>
      </c>
      <c r="W145" s="1">
        <f>V145*1.1</f>
        <v>271.690496</v>
      </c>
      <c r="X145" s="1">
        <f>W145</f>
        <v>271.690496</v>
      </c>
      <c r="Y145" s="2">
        <v>0.4</v>
      </c>
      <c r="Z145" s="1">
        <f>X145*(1+Y145)</f>
        <v>380.3666944</v>
      </c>
      <c r="AA145">
        <v>18</v>
      </c>
      <c r="AB145">
        <v>34.5</v>
      </c>
      <c r="AC145">
        <v>21</v>
      </c>
      <c r="AD145">
        <v>0</v>
      </c>
      <c r="AE145">
        <v>3</v>
      </c>
      <c r="AF145" t="str">
        <v>Bathroom cabinet with 3 drawers (18")</v>
      </c>
      <c r="AG145" t="str">
        <v>3 drawers (18")</v>
      </c>
    </row>
    <row r="146" hidden="1">
      <c r="A146" t="str">
        <v>S8-VS2421</v>
      </c>
      <c r="E146" t="b">
        <f>IF(OR(B146=TRUE,C146=TRUE,D146=TRUE),FALSE,TRUE)</f>
        <v>1</v>
      </c>
      <c r="G146" t="str">
        <v>VSBC2421</v>
      </c>
      <c r="H146" t="str">
        <f>IF(ISNUMBER(SEARCH("muf",A146)),"Chêne blanc","Blanc")</f>
        <v>Blanc</v>
      </c>
      <c r="I146" t="str">
        <f>CONCAT(G146,IF(H146="","",IF(H146="Blanc","-CW","-WWO")))</f>
        <v>VSBC2421-CW</v>
      </c>
      <c r="J146" t="str">
        <f>IFERROR(VLOOKUP(K146,Categories!$A$2:$C$41,2,FALSE()),"⚠ slug introuvable")</f>
        <v>bathroom-base-cabinet</v>
      </c>
      <c r="K146" t="str">
        <v>bathroom-base-cabinet-sink</v>
      </c>
      <c r="L146" t="str">
        <f>IFERROR(VLOOKUP(J146,Categories!$A$2:$C$41,3,FALSE()),"⚠ slug introuvable")</f>
        <v>Armoire de salle de bain</v>
      </c>
      <c r="M146" t="str">
        <f>IFERROR(VLOOKUP(K146,Categories!$A$2:$C$41,3,FALSE()),"⚠ slug introuvable")</f>
        <v>Évier</v>
      </c>
      <c r="N146" t="str">
        <v>Vanité de salle de bain à 2 portes</v>
      </c>
      <c r="O146" t="str">
        <f>CONCAT(N146," (",AA146,""")")</f>
        <v>Vanité de salle de bain à 2 portes (24")</v>
      </c>
      <c r="P146" t="str">
        <f>CONCAT("Vanité"," (",AA146,""")")</f>
        <v>Vanité (24")</v>
      </c>
      <c r="Q146" s="1">
        <v>713</v>
      </c>
      <c r="R146" s="1">
        <f>Q146/11.25</f>
        <v>63.37777777777778</v>
      </c>
      <c r="S146" s="1">
        <f>R146*1.4</f>
        <v>88.72888888888889</v>
      </c>
      <c r="T146" s="1">
        <f>S146*1.1</f>
        <v>97.60177777777778</v>
      </c>
      <c r="U146" s="1">
        <f>T146*1.2</f>
        <v>117.12213333333334</v>
      </c>
      <c r="V146" s="1">
        <f>U146*1.2</f>
        <v>140.54656</v>
      </c>
      <c r="W146" s="1">
        <f>V146*1.1</f>
        <v>154.60121600000002</v>
      </c>
      <c r="X146" s="1">
        <f>W146</f>
        <v>154.60121600000002</v>
      </c>
      <c r="Y146" s="2">
        <v>0.4</v>
      </c>
      <c r="Z146" s="1">
        <f>X146*(1+Y146)</f>
        <v>216.44170240000003</v>
      </c>
      <c r="AA146">
        <v>24</v>
      </c>
      <c r="AB146">
        <v>34.5</v>
      </c>
      <c r="AC146">
        <v>21</v>
      </c>
      <c r="AD146">
        <v>2</v>
      </c>
      <c r="AE146">
        <v>0</v>
      </c>
      <c r="AF146" t="str">
        <v>Bathroom vanity with 2 doors (24")</v>
      </c>
      <c r="AG146" t="str">
        <v>Vanity (24")</v>
      </c>
    </row>
    <row r="147" hidden="1">
      <c r="A147" t="str">
        <v>S8-VS2421-muf</v>
      </c>
      <c r="E147" t="b">
        <f>IF(OR(B147=TRUE,C147=TRUE,D147=TRUE),FALSE,TRUE)</f>
        <v>1</v>
      </c>
      <c r="G147" t="str">
        <v>VSBC2421</v>
      </c>
      <c r="H147" t="str">
        <f>IF(ISNUMBER(SEARCH("muf",A147)),"Chêne blanc","Blanc")</f>
        <v>Chêne blanc</v>
      </c>
      <c r="I147" t="str">
        <f>CONCAT(G147,IF(H147="","",IF(H147="Blanc","-CW","-WWO")))</f>
        <v>VSBC2421-WWO</v>
      </c>
      <c r="J147" t="str">
        <f>IFERROR(VLOOKUP(K147,Categories!$A$2:$C$41,2,FALSE()),"⚠ slug introuvable")</f>
        <v>bathroom-base-cabinet</v>
      </c>
      <c r="K147" t="str">
        <v>bathroom-base-cabinet-sink</v>
      </c>
      <c r="L147" t="str">
        <f>IFERROR(VLOOKUP(J147,Categories!$A$2:$C$41,3,FALSE()),"⚠ slug introuvable")</f>
        <v>Armoire de salle de bain</v>
      </c>
      <c r="M147" t="str">
        <f>IFERROR(VLOOKUP(K147,Categories!$A$2:$C$41,3,FALSE()),"⚠ slug introuvable")</f>
        <v>Évier</v>
      </c>
      <c r="N147" t="str">
        <v>Vanité de salle de bain à 2 portes</v>
      </c>
      <c r="O147" t="str">
        <f>CONCAT(N147," (",AA147,""")")</f>
        <v>Vanité de salle de bain à 2 portes (24")</v>
      </c>
      <c r="P147" t="str">
        <f>CONCAT("Vanité"," (",AA147,""")")</f>
        <v>Vanité (24")</v>
      </c>
      <c r="Q147" s="1">
        <v>881</v>
      </c>
      <c r="R147" s="1">
        <f>Q147/11.25</f>
        <v>78.31111111111112</v>
      </c>
      <c r="S147" s="1">
        <f>R147*1.4</f>
        <v>109.63555555555556</v>
      </c>
      <c r="T147" s="1">
        <f>S147*1.1</f>
        <v>120.59911111111111</v>
      </c>
      <c r="U147" s="1">
        <f>T147*1.2</f>
        <v>144.71893333333333</v>
      </c>
      <c r="V147" s="1">
        <f>U147*1.2</f>
        <v>173.66271999999998</v>
      </c>
      <c r="W147" s="1">
        <f>V147*1.1</f>
        <v>191.028992</v>
      </c>
      <c r="X147" s="1">
        <f>W147</f>
        <v>191.028992</v>
      </c>
      <c r="Y147" s="2">
        <v>0.4</v>
      </c>
      <c r="Z147" s="1">
        <f>X147*(1+Y147)</f>
        <v>267.44058879999994</v>
      </c>
      <c r="AA147">
        <v>24</v>
      </c>
      <c r="AB147">
        <v>34.5</v>
      </c>
      <c r="AC147">
        <v>21</v>
      </c>
      <c r="AD147">
        <v>2</v>
      </c>
      <c r="AE147">
        <v>0</v>
      </c>
      <c r="AF147" t="str">
        <v>Bathroom vanity with 2 doors (24")</v>
      </c>
      <c r="AG147" t="str">
        <v>Vanity (24")</v>
      </c>
    </row>
    <row r="148" hidden="1">
      <c r="A148" t="str">
        <v>S8-VS3021</v>
      </c>
      <c r="E148" t="b">
        <f>IF(OR(B148=TRUE,C148=TRUE,D148=TRUE),FALSE,TRUE)</f>
        <v>1</v>
      </c>
      <c r="G148" t="str">
        <v>VSBC3021</v>
      </c>
      <c r="H148" t="str">
        <f>IF(ISNUMBER(SEARCH("muf",A148)),"Chêne blanc","Blanc")</f>
        <v>Blanc</v>
      </c>
      <c r="I148" t="str">
        <f>CONCAT(G148,IF(H148="","",IF(H148="Blanc","-CW","-WWO")))</f>
        <v>VSBC3021-CW</v>
      </c>
      <c r="J148" t="str">
        <f>IFERROR(VLOOKUP(K148,Categories!$A$2:$C$41,2,FALSE()),"⚠ slug introuvable")</f>
        <v>bathroom-base-cabinet</v>
      </c>
      <c r="K148" t="str">
        <v>bathroom-base-cabinet-sink</v>
      </c>
      <c r="L148" t="str">
        <f>IFERROR(VLOOKUP(J148,Categories!$A$2:$C$41,3,FALSE()),"⚠ slug introuvable")</f>
        <v>Armoire de salle de bain</v>
      </c>
      <c r="M148" t="str">
        <f>IFERROR(VLOOKUP(K148,Categories!$A$2:$C$41,3,FALSE()),"⚠ slug introuvable")</f>
        <v>Évier</v>
      </c>
      <c r="N148" t="str">
        <v>Vanité de salle de bain à 2 portes</v>
      </c>
      <c r="O148" t="str">
        <f>CONCAT(N148," (",AA148,""")")</f>
        <v>Vanité de salle de bain à 2 portes (30")</v>
      </c>
      <c r="P148" t="str">
        <f>CONCAT("Vanité"," (",AA148,""")")</f>
        <v>Vanité (30")</v>
      </c>
      <c r="Q148" s="1">
        <v>813</v>
      </c>
      <c r="R148" s="1">
        <f>Q148/11.25</f>
        <v>72.26666666666667</v>
      </c>
      <c r="S148" s="1">
        <f>R148*1.4</f>
        <v>101.17333333333333</v>
      </c>
      <c r="T148" s="1">
        <f>S148*1.1</f>
        <v>111.29066666666668</v>
      </c>
      <c r="U148" s="1">
        <f>T148*1.2</f>
        <v>133.5488</v>
      </c>
      <c r="V148" s="1">
        <f>U148*1.2</f>
        <v>160.25856</v>
      </c>
      <c r="W148" s="1">
        <f>V148*1.1</f>
        <v>176.284416</v>
      </c>
      <c r="X148" s="1">
        <f>W148</f>
        <v>176.284416</v>
      </c>
      <c r="Y148" s="2">
        <v>0.4</v>
      </c>
      <c r="Z148" s="1">
        <f>X148*(1+Y148)</f>
        <v>246.79818239999997</v>
      </c>
      <c r="AA148">
        <v>30</v>
      </c>
      <c r="AB148">
        <v>34.5</v>
      </c>
      <c r="AC148">
        <v>21</v>
      </c>
      <c r="AD148">
        <v>2</v>
      </c>
      <c r="AE148">
        <v>0</v>
      </c>
      <c r="AF148" t="str">
        <v>Bathroom vanity with 2 doors (30")</v>
      </c>
      <c r="AG148" t="str">
        <v>Vanity (30")</v>
      </c>
    </row>
    <row r="149" hidden="1">
      <c r="A149" t="str">
        <v>S8-VS3021-muf</v>
      </c>
      <c r="E149" t="b">
        <f>IF(OR(B149=TRUE,C149=TRUE,D149=TRUE),FALSE,TRUE)</f>
        <v>1</v>
      </c>
      <c r="G149" t="str">
        <v>VSBC3021</v>
      </c>
      <c r="H149" t="str">
        <f>IF(ISNUMBER(SEARCH("muf",A149)),"Chêne blanc","Blanc")</f>
        <v>Chêne blanc</v>
      </c>
      <c r="I149" t="str">
        <f>CONCAT(G149,IF(H149="","",IF(H149="Blanc","-CW","-WWO")))</f>
        <v>VSBC3021-WWO</v>
      </c>
      <c r="J149" t="str">
        <f>IFERROR(VLOOKUP(K149,Categories!$A$2:$C$41,2,FALSE()),"⚠ slug introuvable")</f>
        <v>bathroom-base-cabinet</v>
      </c>
      <c r="K149" t="str">
        <v>bathroom-base-cabinet-sink</v>
      </c>
      <c r="L149" t="str">
        <f>IFERROR(VLOOKUP(J149,Categories!$A$2:$C$41,3,FALSE()),"⚠ slug introuvable")</f>
        <v>Armoire de salle de bain</v>
      </c>
      <c r="M149" t="str">
        <f>IFERROR(VLOOKUP(K149,Categories!$A$2:$C$41,3,FALSE()),"⚠ slug introuvable")</f>
        <v>Évier</v>
      </c>
      <c r="N149" t="str">
        <v>Vanité de salle de bain à 2 portes</v>
      </c>
      <c r="O149" t="str">
        <f>CONCAT(N149," (",AA149,""")")</f>
        <v>Vanité de salle de bain à 2 portes (30")</v>
      </c>
      <c r="P149" t="str">
        <f>CONCAT("Vanité"," (",AA149,""")")</f>
        <v>Vanité (30")</v>
      </c>
      <c r="Q149" s="1">
        <v>1014</v>
      </c>
      <c r="R149" s="1">
        <f>Q149/11.25</f>
        <v>90.13333333333334</v>
      </c>
      <c r="S149" s="1">
        <f>R149*1.4</f>
        <v>126.18666666666667</v>
      </c>
      <c r="T149" s="1">
        <f>S149*1.1</f>
        <v>138.80533333333335</v>
      </c>
      <c r="U149" s="1">
        <f>T149*1.2</f>
        <v>166.56640000000002</v>
      </c>
      <c r="V149" s="1">
        <f>U149*1.2</f>
        <v>199.87968</v>
      </c>
      <c r="W149" s="1">
        <f>V149*1.1</f>
        <v>219.86764800000003</v>
      </c>
      <c r="X149" s="1">
        <f>W149</f>
        <v>219.86764800000003</v>
      </c>
      <c r="Y149" s="2">
        <v>0.4</v>
      </c>
      <c r="Z149" s="1">
        <f>X149*(1+Y149)</f>
        <v>307.81470720000004</v>
      </c>
      <c r="AA149">
        <v>30</v>
      </c>
      <c r="AB149">
        <v>34.5</v>
      </c>
      <c r="AC149">
        <v>21</v>
      </c>
      <c r="AD149">
        <v>2</v>
      </c>
      <c r="AE149">
        <v>0</v>
      </c>
      <c r="AF149" t="str">
        <v>Bathroom vanity with 2 doors (30")</v>
      </c>
      <c r="AG149" t="str">
        <v>Vanity (30")</v>
      </c>
    </row>
    <row r="150" hidden="1">
      <c r="A150" t="str">
        <v>S8-W0930</v>
      </c>
      <c r="E150" t="b">
        <f>IF(OR(B150=TRUE,C150=TRUE,D150=TRUE),FALSE,TRUE)</f>
        <v>1</v>
      </c>
      <c r="G150" t="str">
        <v>DOWC0930</v>
      </c>
      <c r="H150" t="str">
        <f>IF(ISNUMBER(SEARCH("muf",A150)),"Chêne blanc","Blanc")</f>
        <v>Blanc</v>
      </c>
      <c r="I150" t="str">
        <f>CONCAT(G150,IF(H150="","",IF(H150="Blanc","-CW","-WWO")))</f>
        <v>DOWC0930-CW</v>
      </c>
      <c r="J150" t="str">
        <v>wall-cabinet</v>
      </c>
      <c r="K150" t="str">
        <v>standard</v>
      </c>
      <c r="L150" t="str">
        <f>IFERROR(VLOOKUP(J150,Categories!$A$2:$C$41,3,FALSE()),"⚠ slug introuvable")</f>
        <v>Armoire murale</v>
      </c>
      <c r="M150" t="str">
        <f>IFERROR(VLOOKUP(K150,Categories!$A$2:$C$41,3,FALSE()),"⚠ slug introuvable")</f>
        <v>Standard</v>
      </c>
      <c r="N150" t="str">
        <v>Armoire de cuisine du haut à 1 porte</v>
      </c>
      <c r="O150" t="str">
        <f>CONCAT(N150," (",AA150,""" x ",AB150,""")")</f>
        <v>Armoire de cuisine du haut à 1 porte (9" x 30")</v>
      </c>
      <c r="P150" t="str">
        <f>CONCAT("1 porte"," (",AA150,""" x ",AB150,""")")</f>
        <v>1 porte (9" x 30")</v>
      </c>
      <c r="Q150" s="1">
        <v>310</v>
      </c>
      <c r="R150" s="1">
        <f>Q150/11.25</f>
        <v>27.555555555555557</v>
      </c>
      <c r="S150" s="1">
        <f>R150*1.4</f>
        <v>38.577777777777776</v>
      </c>
      <c r="T150" s="1">
        <f>S150*1.1</f>
        <v>42.43555555555556</v>
      </c>
      <c r="U150" s="1">
        <f>T150*1.2</f>
        <v>50.92266666666667</v>
      </c>
      <c r="V150" s="1">
        <f>U150*1.2</f>
        <v>61.107200000000006</v>
      </c>
      <c r="W150" s="1">
        <f>V150*1.1</f>
        <v>67.21792</v>
      </c>
      <c r="X150" s="1">
        <f>W150</f>
        <v>67.21792</v>
      </c>
      <c r="Y150" s="2">
        <v>0.4</v>
      </c>
      <c r="Z150" s="1">
        <f>X150*(1+Y150)</f>
        <v>94.10508800000001</v>
      </c>
      <c r="AA150">
        <v>9</v>
      </c>
      <c r="AB150">
        <v>30</v>
      </c>
      <c r="AC150">
        <v>12</v>
      </c>
      <c r="AD150">
        <v>1</v>
      </c>
      <c r="AE150">
        <v>0</v>
      </c>
      <c r="AF150" t="str">
        <v>Wall kitchen cabinet with 1 door (9" x 30")</v>
      </c>
      <c r="AG150" t="str">
        <v>1 door (9" x 30")</v>
      </c>
    </row>
    <row r="151" hidden="1">
      <c r="A151" t="str">
        <v>S8-W0936</v>
      </c>
      <c r="E151" t="b">
        <f>IF(OR(B151=TRUE,C151=TRUE,D151=TRUE),FALSE,TRUE)</f>
        <v>1</v>
      </c>
      <c r="G151" t="str">
        <v>DOWC0936</v>
      </c>
      <c r="H151" t="str">
        <f>IF(ISNUMBER(SEARCH("muf",A151)),"Chêne blanc","Blanc")</f>
        <v>Blanc</v>
      </c>
      <c r="I151" t="str">
        <f>CONCAT(G151,IF(H151="","",IF(H151="Blanc","-CW","-WWO")))</f>
        <v>DOWC0936-CW</v>
      </c>
      <c r="J151" t="str">
        <v>wall-cabinet</v>
      </c>
      <c r="K151" t="str">
        <v>standard</v>
      </c>
      <c r="L151" t="str">
        <f>IFERROR(VLOOKUP(J151,Categories!$A$2:$C$41,3,FALSE()),"⚠ slug introuvable")</f>
        <v>Armoire murale</v>
      </c>
      <c r="M151" t="str">
        <f>IFERROR(VLOOKUP(K151,Categories!$A$2:$C$41,3,FALSE()),"⚠ slug introuvable")</f>
        <v>Standard</v>
      </c>
      <c r="N151" t="str">
        <v>Armoire de cuisine du haut à 1 porte</v>
      </c>
      <c r="O151" t="str">
        <f>CONCAT(N151," (",AA151,""" x ",AB151,""")")</f>
        <v>Armoire de cuisine du haut à 1 porte (9" x 36")</v>
      </c>
      <c r="P151" t="str">
        <f>CONCAT("1 porte"," (",AA151,""" x ",AB151,""")")</f>
        <v>1 porte (9" x 36")</v>
      </c>
      <c r="Q151" s="1">
        <v>354</v>
      </c>
      <c r="R151" s="1">
        <f>Q151/11.25</f>
        <v>31.466666666666665</v>
      </c>
      <c r="S151" s="1">
        <f>R151*1.4</f>
        <v>44.05333333333333</v>
      </c>
      <c r="T151" s="1">
        <f>S151*1.1</f>
        <v>48.458666666666666</v>
      </c>
      <c r="U151" s="1">
        <f>T151*1.2</f>
        <v>58.1504</v>
      </c>
      <c r="V151" s="1">
        <f>U151*1.2</f>
        <v>69.78048</v>
      </c>
      <c r="W151" s="1">
        <f>V151*1.1</f>
        <v>76.758528</v>
      </c>
      <c r="X151" s="1">
        <f>W151</f>
        <v>76.758528</v>
      </c>
      <c r="Y151" s="2">
        <v>0.4</v>
      </c>
      <c r="Z151" s="1">
        <f>X151*(1+Y151)</f>
        <v>107.46193919999999</v>
      </c>
      <c r="AA151">
        <v>9</v>
      </c>
      <c r="AB151">
        <v>36</v>
      </c>
      <c r="AC151">
        <v>12</v>
      </c>
      <c r="AD151">
        <v>1</v>
      </c>
      <c r="AE151">
        <v>0</v>
      </c>
      <c r="AF151" t="str">
        <v>Wall kitchen cabinet with 1 door (9" x 36")</v>
      </c>
      <c r="AG151" t="str">
        <v>1 door (9" x 36")</v>
      </c>
    </row>
    <row r="152" hidden="1">
      <c r="A152" t="str">
        <v>S8-W0936-Door</v>
      </c>
      <c r="B152" t="b">
        <v>1</v>
      </c>
      <c r="E152" t="b">
        <f>IF(OR(B152=TRUE,C152=TRUE,D152=TRUE),FALSE,TRUE)</f>
        <v>0</v>
      </c>
      <c r="H152" t="str">
        <f>IF(ISNUMBER(SEARCH("muf",A152)),"Chêne blanc","Blanc")</f>
        <v>Blanc</v>
      </c>
      <c r="I152" t="str">
        <f>CONCAT(G152,IF(H152="","",IF(H152="Blanc","-CW","-WWO")))</f>
        <v>-CW</v>
      </c>
      <c r="K152" t="str">
        <v>wall-cabinet-standard</v>
      </c>
      <c r="M152" t="str">
        <f>IFERROR(VLOOKUP(K152,Categories!$A$2:$C$41,3,FALSE()),"⚠ slug introuvable")</f>
        <v>⚠ slug introuvable</v>
      </c>
      <c r="N152" t="str">
        <v>W0936-Door</v>
      </c>
      <c r="Q152" s="1">
        <v>0</v>
      </c>
      <c r="R152" s="1">
        <f>Q152/11.25</f>
        <v>0</v>
      </c>
      <c r="S152" s="1">
        <f>R152*1.4</f>
        <v>0</v>
      </c>
      <c r="T152" s="1">
        <f>S152*1.1</f>
        <v>0</v>
      </c>
      <c r="U152" s="1">
        <f>T152*1.2</f>
        <v>0</v>
      </c>
      <c r="V152" s="1">
        <f>U152*1.2</f>
        <v>0</v>
      </c>
      <c r="W152" s="1">
        <f>V152*1.1</f>
        <v>0</v>
      </c>
      <c r="X152" s="1">
        <f>W152</f>
        <v>0</v>
      </c>
      <c r="Y152" s="2">
        <v>0.4</v>
      </c>
      <c r="Z152" s="1">
        <f>X152*(1+Y152)</f>
        <v>0</v>
      </c>
      <c r="AA152">
        <v>9</v>
      </c>
      <c r="AB152">
        <v>36</v>
      </c>
      <c r="AC152">
        <v>12</v>
      </c>
    </row>
    <row r="153" hidden="1">
      <c r="A153" t="str">
        <v>S8-W1230</v>
      </c>
      <c r="E153" t="b">
        <f>IF(OR(B153=TRUE,C153=TRUE,D153=TRUE),FALSE,TRUE)</f>
        <v>1</v>
      </c>
      <c r="G153" t="str">
        <v>DOWC1230</v>
      </c>
      <c r="H153" t="str">
        <f>IF(ISNUMBER(SEARCH("muf",A153)),"Chêne blanc","Blanc")</f>
        <v>Blanc</v>
      </c>
      <c r="I153" t="str">
        <f>CONCAT(G153,IF(H153="","",IF(H153="Blanc","-CW","-WWO")))</f>
        <v>DOWC1230-CW</v>
      </c>
      <c r="J153" t="str">
        <v>wall-cabinet</v>
      </c>
      <c r="K153" t="str">
        <v>standard</v>
      </c>
      <c r="L153" t="str">
        <f>IFERROR(VLOOKUP(J153,Categories!$A$2:$C$41,3,FALSE()),"⚠ slug introuvable")</f>
        <v>Armoire murale</v>
      </c>
      <c r="M153" t="str">
        <f>IFERROR(VLOOKUP(K153,Categories!$A$2:$C$41,3,FALSE()),"⚠ slug introuvable")</f>
        <v>Standard</v>
      </c>
      <c r="N153" t="str">
        <v>Armoire de cuisine du haut à 1 porte</v>
      </c>
      <c r="O153" t="str">
        <f>CONCAT(N153," (",AA153,""" x ",AB153,""")")</f>
        <v>Armoire de cuisine du haut à 1 porte (12" x 30")</v>
      </c>
      <c r="P153" t="str">
        <f>CONCAT("1 porte"," (",AA153,""" x ",AB153,""")")</f>
        <v>1 porte (12" x 30")</v>
      </c>
      <c r="Q153" s="1">
        <v>352</v>
      </c>
      <c r="R153" s="1">
        <f>Q153/11.25</f>
        <v>31.288888888888888</v>
      </c>
      <c r="S153" s="1">
        <f>R153*1.4</f>
        <v>43.80444444444444</v>
      </c>
      <c r="T153" s="1">
        <f>S153*1.1</f>
        <v>48.18488888888889</v>
      </c>
      <c r="U153" s="1">
        <f>T153*1.2</f>
        <v>57.821866666666665</v>
      </c>
      <c r="V153" s="1">
        <f>U153*1.2</f>
        <v>69.38624</v>
      </c>
      <c r="W153" s="1">
        <f>V153*1.1</f>
        <v>76.324864</v>
      </c>
      <c r="X153" s="1">
        <f>W153</f>
        <v>76.324864</v>
      </c>
      <c r="Y153" s="2">
        <v>0.4</v>
      </c>
      <c r="Z153" s="1">
        <f>X153*(1+Y153)</f>
        <v>106.8548096</v>
      </c>
      <c r="AA153">
        <v>12</v>
      </c>
      <c r="AB153">
        <v>30</v>
      </c>
      <c r="AC153">
        <v>12</v>
      </c>
      <c r="AD153">
        <v>1</v>
      </c>
      <c r="AE153">
        <v>0</v>
      </c>
      <c r="AF153" t="str">
        <v>Wall kitchen cabinet with 1 door (12" x 30")</v>
      </c>
      <c r="AG153" t="str">
        <v>1 door (12" x 30")</v>
      </c>
    </row>
    <row r="154" hidden="1">
      <c r="A154" t="str">
        <v>S8-W1236</v>
      </c>
      <c r="E154" t="b">
        <f>IF(OR(B154=TRUE,C154=TRUE,D154=TRUE),FALSE,TRUE)</f>
        <v>1</v>
      </c>
      <c r="G154" t="str">
        <v>DOWC1236</v>
      </c>
      <c r="H154" t="str">
        <f>IF(ISNUMBER(SEARCH("muf",A154)),"Chêne blanc","Blanc")</f>
        <v>Blanc</v>
      </c>
      <c r="I154" t="str">
        <f>CONCAT(G154,IF(H154="","",IF(H154="Blanc","-CW","-WWO")))</f>
        <v>DOWC1236-CW</v>
      </c>
      <c r="J154" t="str">
        <v>wall-cabinet</v>
      </c>
      <c r="K154" t="str">
        <v>standard</v>
      </c>
      <c r="L154" t="str">
        <f>IFERROR(VLOOKUP(J154,Categories!$A$2:$C$41,3,FALSE()),"⚠ slug introuvable")</f>
        <v>Armoire murale</v>
      </c>
      <c r="M154" t="str">
        <f>IFERROR(VLOOKUP(K154,Categories!$A$2:$C$41,3,FALSE()),"⚠ slug introuvable")</f>
        <v>Standard</v>
      </c>
      <c r="N154" t="str">
        <v>Armoire de cuisine du haut à 1 porte</v>
      </c>
      <c r="O154" t="str">
        <f>CONCAT(N154," (",AA154,""" x ",AB154,""")")</f>
        <v>Armoire de cuisine du haut à 1 porte (12" x 36")</v>
      </c>
      <c r="P154" t="str">
        <f>CONCAT("1 porte"," (",AA154,""" x ",AB154,""")")</f>
        <v>1 porte (12" x 36")</v>
      </c>
      <c r="Q154" s="1">
        <v>402</v>
      </c>
      <c r="R154" s="1">
        <f>Q154/11.25</f>
        <v>35.733333333333334</v>
      </c>
      <c r="S154" s="1">
        <f>R154*1.4</f>
        <v>50.026666666666664</v>
      </c>
      <c r="T154" s="1">
        <f>S154*1.1</f>
        <v>55.029333333333334</v>
      </c>
      <c r="U154" s="1">
        <f>T154*1.2</f>
        <v>66.0352</v>
      </c>
      <c r="V154" s="1">
        <f>U154*1.2</f>
        <v>79.24224</v>
      </c>
      <c r="W154" s="1">
        <f>V154*1.1</f>
        <v>87.166464</v>
      </c>
      <c r="X154" s="1">
        <f>W154</f>
        <v>87.166464</v>
      </c>
      <c r="Y154" s="2">
        <v>0.4</v>
      </c>
      <c r="Z154" s="1">
        <f>X154*(1+Y154)</f>
        <v>122.0330496</v>
      </c>
      <c r="AA154">
        <v>12</v>
      </c>
      <c r="AB154">
        <v>36</v>
      </c>
      <c r="AC154">
        <v>12</v>
      </c>
      <c r="AD154">
        <v>1</v>
      </c>
      <c r="AE154">
        <v>0</v>
      </c>
      <c r="AF154" t="str">
        <v>Wall kitchen cabinet with 1 door (12" x 36")</v>
      </c>
      <c r="AG154" t="str">
        <v>1 door (12" x 36")</v>
      </c>
    </row>
    <row r="155" hidden="1">
      <c r="A155" t="str">
        <v>S8-W1236-Door</v>
      </c>
      <c r="B155" t="b">
        <v>1</v>
      </c>
      <c r="E155" t="b">
        <f>IF(OR(B155=TRUE,C155=TRUE,D155=TRUE),FALSE,TRUE)</f>
        <v>0</v>
      </c>
      <c r="H155" t="str">
        <f>IF(ISNUMBER(SEARCH("muf",A155)),"Chêne blanc","Blanc")</f>
        <v>Blanc</v>
      </c>
      <c r="I155" t="str">
        <f>CONCAT(G155,IF(H155="","",IF(H155="Blanc","-CW","-WWO")))</f>
        <v>-CW</v>
      </c>
      <c r="K155" t="str">
        <v>wall-cabinet-standard</v>
      </c>
      <c r="M155" t="str">
        <f>IFERROR(VLOOKUP(K155,Categories!$A$2:$C$41,3,FALSE()),"⚠ slug introuvable")</f>
        <v>⚠ slug introuvable</v>
      </c>
      <c r="N155" t="str">
        <v>W1236-Door</v>
      </c>
      <c r="Q155" s="1">
        <v>0</v>
      </c>
      <c r="R155" s="1">
        <f>Q155/11.25</f>
        <v>0</v>
      </c>
      <c r="S155" s="1">
        <f>R155*1.4</f>
        <v>0</v>
      </c>
      <c r="T155" s="1">
        <f>S155*1.1</f>
        <v>0</v>
      </c>
      <c r="U155" s="1">
        <f>T155*1.2</f>
        <v>0</v>
      </c>
      <c r="V155" s="1">
        <f>U155*1.2</f>
        <v>0</v>
      </c>
      <c r="W155" s="1">
        <f>V155*1.1</f>
        <v>0</v>
      </c>
      <c r="X155" s="1">
        <f>W155</f>
        <v>0</v>
      </c>
      <c r="Y155" s="2">
        <v>0.4</v>
      </c>
      <c r="Z155" s="1">
        <f>X155*(1+Y155)</f>
        <v>0</v>
      </c>
      <c r="AA155">
        <v>12</v>
      </c>
      <c r="AB155">
        <v>36</v>
      </c>
      <c r="AC155">
        <v>12</v>
      </c>
      <c r="AD155">
        <v>1</v>
      </c>
      <c r="AE155">
        <v>0</v>
      </c>
    </row>
    <row r="156" hidden="1">
      <c r="A156" t="str">
        <v>S8-W1248</v>
      </c>
      <c r="E156" t="b">
        <f>IF(OR(B156=TRUE,C156=TRUE,D156=TRUE),FALSE,TRUE)</f>
        <v>1</v>
      </c>
      <c r="G156" t="str">
        <v>DOWC1248</v>
      </c>
      <c r="H156" t="str">
        <f>IF(ISNUMBER(SEARCH("muf",A156)),"Chêne blanc","Blanc")</f>
        <v>Blanc</v>
      </c>
      <c r="I156" t="str">
        <f>CONCAT(G156,IF(H156="","",IF(H156="Blanc","-CW","-WWO")))</f>
        <v>DOWC1248-CW</v>
      </c>
      <c r="J156" t="str">
        <v>wall-cabinet</v>
      </c>
      <c r="K156" t="str">
        <v>standard</v>
      </c>
      <c r="L156" t="str">
        <f>IFERROR(VLOOKUP(J156,Categories!$A$2:$C$41,3,FALSE()),"⚠ slug introuvable")</f>
        <v>Armoire murale</v>
      </c>
      <c r="M156" t="str">
        <f>IFERROR(VLOOKUP(K156,Categories!$A$2:$C$41,3,FALSE()),"⚠ slug introuvable")</f>
        <v>Standard</v>
      </c>
      <c r="N156" t="str">
        <v>Armoire de cuisine du haut à 1 porte</v>
      </c>
      <c r="O156" t="str">
        <f>CONCAT(N156," (",AA156,""" x ",AB156,""")")</f>
        <v>Armoire de cuisine du haut à 1 porte (12" x 48")</v>
      </c>
      <c r="P156" t="str">
        <f>CONCAT("1 porte"," (",AA156,""" x ",AB156,""")")</f>
        <v>1 porte (12" x 48")</v>
      </c>
      <c r="Q156" s="1">
        <v>667</v>
      </c>
      <c r="R156" s="1">
        <f>Q156/11.25</f>
        <v>59.28888888888889</v>
      </c>
      <c r="S156" s="1">
        <f>R156*1.4</f>
        <v>83.00444444444445</v>
      </c>
      <c r="T156" s="1">
        <f>S156*1.1</f>
        <v>91.3048888888889</v>
      </c>
      <c r="U156" s="1">
        <f>T156*1.2</f>
        <v>109.56586666666668</v>
      </c>
      <c r="V156" s="1">
        <f>U156*1.2</f>
        <v>131.47904</v>
      </c>
      <c r="W156" s="1">
        <f>V156*1.1</f>
        <v>144.626944</v>
      </c>
      <c r="X156" s="1">
        <f>W156</f>
        <v>144.626944</v>
      </c>
      <c r="Y156" s="2">
        <v>0.4</v>
      </c>
      <c r="Z156" s="1">
        <f>X156*(1+Y156)</f>
        <v>202.4777216</v>
      </c>
      <c r="AA156">
        <v>12</v>
      </c>
      <c r="AB156">
        <v>48</v>
      </c>
      <c r="AC156">
        <v>12</v>
      </c>
      <c r="AD156">
        <v>1</v>
      </c>
      <c r="AE156">
        <v>0</v>
      </c>
      <c r="AF156" t="str">
        <v>Wall kitchen cabinet with 1 door (12" x 48")</v>
      </c>
      <c r="AG156" t="str">
        <v>1 door (12" x 48")</v>
      </c>
    </row>
    <row r="157" hidden="1">
      <c r="A157" t="str">
        <v>S8-W1436</v>
      </c>
      <c r="E157" t="b">
        <f>IF(OR(B157=TRUE,C157=TRUE,D157=TRUE),FALSE,TRUE)</f>
        <v>1</v>
      </c>
      <c r="G157" t="str">
        <v>DOWC1436</v>
      </c>
      <c r="H157" t="str">
        <f>IF(ISNUMBER(SEARCH("muf",A157)),"Chêne blanc","Blanc")</f>
        <v>Blanc</v>
      </c>
      <c r="I157" t="str">
        <f>CONCAT(G157,IF(H157="","",IF(H157="Blanc","-CW","-WWO")))</f>
        <v>DOWC1436-CW</v>
      </c>
      <c r="J157" t="str">
        <v>wall-cabinet</v>
      </c>
      <c r="K157" t="str">
        <v>standard</v>
      </c>
      <c r="L157" t="str">
        <f>IFERROR(VLOOKUP(J157,Categories!$A$2:$C$41,3,FALSE()),"⚠ slug introuvable")</f>
        <v>Armoire murale</v>
      </c>
      <c r="M157" t="str">
        <f>IFERROR(VLOOKUP(K157,Categories!$A$2:$C$41,3,FALSE()),"⚠ slug introuvable")</f>
        <v>Standard</v>
      </c>
      <c r="N157" t="str">
        <v>Armoire de cuisine du haut à 1 porte</v>
      </c>
      <c r="O157" t="str">
        <f>CONCAT(N157," (",AA157,""" x ",AB157,""")")</f>
        <v>Armoire de cuisine du haut à 1 porte (14" x 36")</v>
      </c>
      <c r="P157" t="str">
        <f>CONCAT("1 porte"," (",AA157,""" x ",AB157,""")")</f>
        <v>1 porte (14" x 36")</v>
      </c>
      <c r="Q157" s="1">
        <v>526</v>
      </c>
      <c r="R157" s="1">
        <f>Q157/11.25</f>
        <v>46.75555555555555</v>
      </c>
      <c r="S157" s="1">
        <f>R157*1.4</f>
        <v>65.45777777777776</v>
      </c>
      <c r="T157" s="1">
        <f>S157*1.1</f>
        <v>72.00355555555555</v>
      </c>
      <c r="U157" s="1">
        <f>T157*1.2</f>
        <v>86.40426666666666</v>
      </c>
      <c r="V157" s="1">
        <f>U157*1.2</f>
        <v>103.68511999999998</v>
      </c>
      <c r="W157" s="1">
        <f>V157*1.1</f>
        <v>114.053632</v>
      </c>
      <c r="X157" s="1">
        <f>W157</f>
        <v>114.053632</v>
      </c>
      <c r="Y157" s="2">
        <v>0.4</v>
      </c>
      <c r="Z157" s="1">
        <f>X157*(1+Y157)</f>
        <v>159.67508479999998</v>
      </c>
      <c r="AA157">
        <v>14</v>
      </c>
      <c r="AB157">
        <v>36</v>
      </c>
      <c r="AC157">
        <v>12</v>
      </c>
      <c r="AD157">
        <v>1</v>
      </c>
      <c r="AE157">
        <v>0</v>
      </c>
      <c r="AF157" t="str">
        <v>Wall kitchen cabinet with 1 door (14" x 36")</v>
      </c>
      <c r="AG157" t="str">
        <v>1 door (14" x 36")</v>
      </c>
    </row>
    <row r="158" hidden="1">
      <c r="A158" t="str">
        <v>S8-W1530</v>
      </c>
      <c r="E158" t="b">
        <f>IF(OR(B158=TRUE,C158=TRUE,D158=TRUE),FALSE,TRUE)</f>
        <v>1</v>
      </c>
      <c r="G158" t="str">
        <v>DOWC1530</v>
      </c>
      <c r="H158" t="str">
        <f>IF(ISNUMBER(SEARCH("muf",A158)),"Chêne blanc","Blanc")</f>
        <v>Blanc</v>
      </c>
      <c r="I158" t="str">
        <f>CONCAT(G158,IF(H158="","",IF(H158="Blanc","-CW","-WWO")))</f>
        <v>DOWC1530-CW</v>
      </c>
      <c r="J158" t="str">
        <v>wall-cabinet</v>
      </c>
      <c r="K158" t="str">
        <v>standard</v>
      </c>
      <c r="L158" t="str">
        <f>IFERROR(VLOOKUP(J158,Categories!$A$2:$C$41,3,FALSE()),"⚠ slug introuvable")</f>
        <v>Armoire murale</v>
      </c>
      <c r="M158" t="str">
        <f>IFERROR(VLOOKUP(K158,Categories!$A$2:$C$41,3,FALSE()),"⚠ slug introuvable")</f>
        <v>Standard</v>
      </c>
      <c r="N158" t="str">
        <v>Armoire de cuisine du haut à 1 porte</v>
      </c>
      <c r="O158" t="str">
        <f>CONCAT(N158," (",AA158,""" x ",AB158,""")")</f>
        <v>Armoire de cuisine du haut à 1 porte (15" x 30")</v>
      </c>
      <c r="P158" t="str">
        <f>CONCAT("1 porte"," (",AA158,""" x ",AB158,""")")</f>
        <v>1 porte (15" x 30")</v>
      </c>
      <c r="Q158" s="1">
        <v>401</v>
      </c>
      <c r="R158" s="1">
        <f>Q158/11.25</f>
        <v>35.644444444444446</v>
      </c>
      <c r="S158" s="1">
        <f>R158*1.4</f>
        <v>49.90222222222222</v>
      </c>
      <c r="T158" s="1">
        <f>S158*1.1</f>
        <v>54.89244444444445</v>
      </c>
      <c r="U158" s="1">
        <f>T158*1.2</f>
        <v>65.87093333333334</v>
      </c>
      <c r="V158" s="1">
        <f>U158*1.2</f>
        <v>79.04512000000001</v>
      </c>
      <c r="W158" s="1">
        <f>V158*1.1</f>
        <v>86.94963200000002</v>
      </c>
      <c r="X158" s="1">
        <f>W158</f>
        <v>86.94963200000002</v>
      </c>
      <c r="Y158" s="2">
        <v>0.4</v>
      </c>
      <c r="Z158" s="1">
        <f>X158*(1+Y158)</f>
        <v>121.72948480000002</v>
      </c>
      <c r="AA158">
        <v>15</v>
      </c>
      <c r="AB158">
        <v>30</v>
      </c>
      <c r="AC158">
        <v>12</v>
      </c>
      <c r="AD158">
        <v>1</v>
      </c>
      <c r="AE158">
        <v>0</v>
      </c>
      <c r="AF158" t="str">
        <v>Wall kitchen cabinet with 1 door (15" x 30")</v>
      </c>
      <c r="AG158" t="str">
        <v>1 door (15" x 30")</v>
      </c>
    </row>
    <row r="159" hidden="1">
      <c r="A159" t="str">
        <v>S8-W1536</v>
      </c>
      <c r="E159" t="b">
        <f>IF(OR(B159=TRUE,C159=TRUE,D159=TRUE),FALSE,TRUE)</f>
        <v>1</v>
      </c>
      <c r="G159" t="str">
        <v>DOWC1536</v>
      </c>
      <c r="H159" t="str">
        <f>IF(ISNUMBER(SEARCH("muf",A159)),"Chêne blanc","Blanc")</f>
        <v>Blanc</v>
      </c>
      <c r="I159" t="str">
        <f>CONCAT(G159,IF(H159="","",IF(H159="Blanc","-CW","-WWO")))</f>
        <v>DOWC1536-CW</v>
      </c>
      <c r="J159" t="str">
        <v>wall-cabinet</v>
      </c>
      <c r="K159" t="str">
        <v>standard</v>
      </c>
      <c r="L159" t="str">
        <f>IFERROR(VLOOKUP(J159,Categories!$A$2:$C$41,3,FALSE()),"⚠ slug introuvable")</f>
        <v>Armoire murale</v>
      </c>
      <c r="M159" t="str">
        <f>IFERROR(VLOOKUP(K159,Categories!$A$2:$C$41,3,FALSE()),"⚠ slug introuvable")</f>
        <v>Standard</v>
      </c>
      <c r="N159" t="str">
        <v>Armoire de cuisine du haut à 1 porte</v>
      </c>
      <c r="O159" t="str">
        <f>CONCAT(N159," (",AA159,""" x ",AB159,""")")</f>
        <v>Armoire de cuisine du haut à 1 porte (15" x 36")</v>
      </c>
      <c r="P159" t="str">
        <f>CONCAT("1 porte"," (",AA159,""" x ",AB159,""")")</f>
        <v>1 porte (15" x 36")</v>
      </c>
      <c r="Q159" s="1">
        <v>463</v>
      </c>
      <c r="R159" s="1">
        <f>Q159/11.25</f>
        <v>41.15555555555556</v>
      </c>
      <c r="S159" s="1">
        <f>R159*1.4</f>
        <v>57.617777777777775</v>
      </c>
      <c r="T159" s="1">
        <f>S159*1.1</f>
        <v>63.379555555555555</v>
      </c>
      <c r="U159" s="1">
        <f>T159*1.2</f>
        <v>76.05546666666666</v>
      </c>
      <c r="V159" s="1">
        <f>U159*1.2</f>
        <v>91.26655999999998</v>
      </c>
      <c r="W159" s="1">
        <f>V159*1.1</f>
        <v>100.393216</v>
      </c>
      <c r="X159" s="1">
        <f>W159</f>
        <v>100.393216</v>
      </c>
      <c r="Y159" s="2">
        <v>0.4</v>
      </c>
      <c r="Z159" s="1">
        <f>X159*(1+Y159)</f>
        <v>140.55050239999997</v>
      </c>
      <c r="AA159">
        <v>15</v>
      </c>
      <c r="AB159">
        <v>36</v>
      </c>
      <c r="AC159">
        <v>12</v>
      </c>
      <c r="AD159">
        <v>1</v>
      </c>
      <c r="AE159">
        <v>0</v>
      </c>
      <c r="AF159" t="str">
        <v>Wall kitchen cabinet with 1 door (15" x 36")</v>
      </c>
      <c r="AG159" t="str">
        <v>1 door (15" x 36")</v>
      </c>
    </row>
    <row r="160" hidden="1">
      <c r="A160" t="str">
        <v>S8-W1536-Door</v>
      </c>
      <c r="B160" t="b">
        <v>1</v>
      </c>
      <c r="E160" t="b">
        <f>IF(OR(B160=TRUE,C160=TRUE,D160=TRUE),FALSE,TRUE)</f>
        <v>0</v>
      </c>
      <c r="H160" t="str">
        <f>IF(ISNUMBER(SEARCH("muf",A160)),"Chêne blanc","Blanc")</f>
        <v>Blanc</v>
      </c>
      <c r="I160" t="str">
        <f>CONCAT(G160,IF(H160="","",IF(H160="Blanc","-CW","-WWO")))</f>
        <v>-CW</v>
      </c>
      <c r="K160" t="str">
        <v>wall-cabinet-standard</v>
      </c>
      <c r="M160" t="str">
        <f>IFERROR(VLOOKUP(K160,Categories!$A$2:$C$41,3,FALSE()),"⚠ slug introuvable")</f>
        <v>⚠ slug introuvable</v>
      </c>
      <c r="N160" t="str">
        <v>W1536-Door</v>
      </c>
      <c r="Q160" s="1">
        <v>0</v>
      </c>
      <c r="R160" s="1">
        <f>Q160/11.25</f>
        <v>0</v>
      </c>
      <c r="S160" s="1">
        <f>R160*1.4</f>
        <v>0</v>
      </c>
      <c r="T160" s="1">
        <f>S160*1.1</f>
        <v>0</v>
      </c>
      <c r="U160" s="1">
        <f>T160*1.2</f>
        <v>0</v>
      </c>
      <c r="V160" s="1">
        <f>U160*1.2</f>
        <v>0</v>
      </c>
      <c r="W160" s="1">
        <f>V160*1.1</f>
        <v>0</v>
      </c>
      <c r="X160" s="1">
        <f>W160</f>
        <v>0</v>
      </c>
      <c r="Y160" s="2">
        <v>0.4</v>
      </c>
      <c r="Z160" s="1">
        <f>X160*(1+Y160)</f>
        <v>0</v>
      </c>
      <c r="AA160">
        <v>15</v>
      </c>
      <c r="AB160">
        <v>36</v>
      </c>
      <c r="AC160">
        <v>12</v>
      </c>
      <c r="AD160">
        <v>1</v>
      </c>
      <c r="AE160">
        <v>0</v>
      </c>
    </row>
    <row r="161" hidden="1">
      <c r="A161" t="str">
        <v>S8-W1548</v>
      </c>
      <c r="E161" t="b">
        <f>IF(OR(B161=TRUE,C161=TRUE,D161=TRUE),FALSE,TRUE)</f>
        <v>1</v>
      </c>
      <c r="G161" t="str">
        <v>DOWC1548</v>
      </c>
      <c r="H161" t="str">
        <f>IF(ISNUMBER(SEARCH("muf",A161)),"Chêne blanc","Blanc")</f>
        <v>Blanc</v>
      </c>
      <c r="I161" t="str">
        <f>CONCAT(G161,IF(H161="","",IF(H161="Blanc","-CW","-WWO")))</f>
        <v>DOWC1548-CW</v>
      </c>
      <c r="J161" t="str">
        <v>wall-cabinet</v>
      </c>
      <c r="K161" t="str">
        <v>standard</v>
      </c>
      <c r="L161" t="str">
        <f>IFERROR(VLOOKUP(J161,Categories!$A$2:$C$41,3,FALSE()),"⚠ slug introuvable")</f>
        <v>Armoire murale</v>
      </c>
      <c r="M161" t="str">
        <f>IFERROR(VLOOKUP(K161,Categories!$A$2:$C$41,3,FALSE()),"⚠ slug introuvable")</f>
        <v>Standard</v>
      </c>
      <c r="N161" t="str">
        <v>Armoire de cuisine du haut à 1 porte</v>
      </c>
      <c r="O161" t="str">
        <f>CONCAT(N161," (",AA161,""" x ",AB161,""")")</f>
        <v>Armoire de cuisine du haut à 1 porte (15" x 48")</v>
      </c>
      <c r="P161" t="str">
        <f>CONCAT("1 porte"," (",AA161,""" x ",AB161,""")")</f>
        <v>1 porte (15" x 48")</v>
      </c>
      <c r="Q161" s="1">
        <v>801</v>
      </c>
      <c r="R161" s="1">
        <f>Q161/11.25</f>
        <v>71.2</v>
      </c>
      <c r="S161" s="1">
        <f>R161*1.4</f>
        <v>99.67999999999999</v>
      </c>
      <c r="T161" s="1">
        <f>S161*1.1</f>
        <v>109.648</v>
      </c>
      <c r="U161" s="1">
        <f>T161*1.2</f>
        <v>131.5776</v>
      </c>
      <c r="V161" s="1">
        <f>U161*1.2</f>
        <v>157.89311999999998</v>
      </c>
      <c r="W161" s="1">
        <f>V161*1.1</f>
        <v>173.682432</v>
      </c>
      <c r="X161" s="1">
        <f>W161</f>
        <v>173.682432</v>
      </c>
      <c r="Y161" s="2">
        <v>0.4</v>
      </c>
      <c r="Z161" s="1">
        <f>X161*(1+Y161)</f>
        <v>243.15540479999999</v>
      </c>
      <c r="AA161">
        <v>15</v>
      </c>
      <c r="AB161">
        <v>48</v>
      </c>
      <c r="AC161">
        <v>12</v>
      </c>
      <c r="AD161">
        <v>1</v>
      </c>
      <c r="AE161">
        <v>0</v>
      </c>
      <c r="AF161" t="str">
        <v>Wall kitchen cabinet with 1 door (15" x 48")</v>
      </c>
      <c r="AG161" t="str">
        <v>1 door (15" x 48")</v>
      </c>
    </row>
    <row r="162" hidden="1">
      <c r="A162" t="str">
        <v>S8-W1830</v>
      </c>
      <c r="E162" t="b">
        <f>IF(OR(B162=TRUE,C162=TRUE,D162=TRUE),FALSE,TRUE)</f>
        <v>1</v>
      </c>
      <c r="G162" t="str">
        <v>DOWC1830</v>
      </c>
      <c r="H162" t="str">
        <f>IF(ISNUMBER(SEARCH("muf",A162)),"Chêne blanc","Blanc")</f>
        <v>Blanc</v>
      </c>
      <c r="I162" t="str">
        <f>CONCAT(G162,IF(H162="","",IF(H162="Blanc","-CW","-WWO")))</f>
        <v>DOWC1830-CW</v>
      </c>
      <c r="J162" t="str">
        <v>wall-cabinet</v>
      </c>
      <c r="K162" t="str">
        <v>standard</v>
      </c>
      <c r="L162" t="str">
        <f>IFERROR(VLOOKUP(J162,Categories!$A$2:$C$41,3,FALSE()),"⚠ slug introuvable")</f>
        <v>Armoire murale</v>
      </c>
      <c r="M162" t="str">
        <f>IFERROR(VLOOKUP(K162,Categories!$A$2:$C$41,3,FALSE()),"⚠ slug introuvable")</f>
        <v>Standard</v>
      </c>
      <c r="N162" t="str">
        <v>Armoire de cuisine du haut à 1 porte</v>
      </c>
      <c r="O162" t="str">
        <f>CONCAT(N162," (",AA162,""" x ",AB162,""")")</f>
        <v>Armoire de cuisine du haut à 1 porte (18" x 30")</v>
      </c>
      <c r="P162" t="str">
        <f>CONCAT("1 porte"," (",AA162,""" x ",AB162,""")")</f>
        <v>1 porte (18" x 30")</v>
      </c>
      <c r="Q162" s="1">
        <v>445</v>
      </c>
      <c r="R162" s="1">
        <f>Q162/11.25</f>
        <v>39.55555555555556</v>
      </c>
      <c r="S162" s="1">
        <f>R162*1.4</f>
        <v>55.37777777777778</v>
      </c>
      <c r="T162" s="1">
        <f>S162*1.1</f>
        <v>60.915555555555564</v>
      </c>
      <c r="U162" s="1">
        <f>T162*1.2</f>
        <v>73.09866666666667</v>
      </c>
      <c r="V162" s="1">
        <f>U162*1.2</f>
        <v>87.7184</v>
      </c>
      <c r="W162" s="1">
        <f>V162*1.1</f>
        <v>96.49024000000001</v>
      </c>
      <c r="X162" s="1">
        <f>W162</f>
        <v>96.49024000000001</v>
      </c>
      <c r="Y162" s="2">
        <v>0.4</v>
      </c>
      <c r="Z162" s="1">
        <f>X162*(1+Y162)</f>
        <v>135.08633600000002</v>
      </c>
      <c r="AA162">
        <v>18</v>
      </c>
      <c r="AB162">
        <v>30</v>
      </c>
      <c r="AC162">
        <v>12</v>
      </c>
      <c r="AD162">
        <v>1</v>
      </c>
      <c r="AE162">
        <v>0</v>
      </c>
      <c r="AF162" t="str">
        <v>Wall kitchen cabinet with 1 door (18" x 30")</v>
      </c>
      <c r="AG162" t="str">
        <v>1 door (18" x 30")</v>
      </c>
    </row>
    <row r="163" hidden="1">
      <c r="A163" t="str">
        <v>S8-W1836</v>
      </c>
      <c r="E163" t="b">
        <f>IF(OR(B163=TRUE,C163=TRUE,D163=TRUE),FALSE,TRUE)</f>
        <v>1</v>
      </c>
      <c r="G163" t="str">
        <v>DOWC1836</v>
      </c>
      <c r="H163" t="str">
        <f>IF(ISNUMBER(SEARCH("muf",A163)),"Chêne blanc","Blanc")</f>
        <v>Blanc</v>
      </c>
      <c r="I163" t="str">
        <f>CONCAT(G163,IF(H163="","",IF(H163="Blanc","-CW","-WWO")))</f>
        <v>DOWC1836-CW</v>
      </c>
      <c r="J163" t="str">
        <v>wall-cabinet</v>
      </c>
      <c r="K163" t="str">
        <v>standard</v>
      </c>
      <c r="L163" t="str">
        <f>IFERROR(VLOOKUP(J163,Categories!$A$2:$C$41,3,FALSE()),"⚠ slug introuvable")</f>
        <v>Armoire murale</v>
      </c>
      <c r="M163" t="str">
        <f>IFERROR(VLOOKUP(K163,Categories!$A$2:$C$41,3,FALSE()),"⚠ slug introuvable")</f>
        <v>Standard</v>
      </c>
      <c r="N163" t="str">
        <v>Armoire de cuisine du haut à 1 porte</v>
      </c>
      <c r="O163" t="str">
        <f>CONCAT(N163," (",AA163,""" x ",AB163,""")")</f>
        <v>Armoire de cuisine du haut à 1 porte (18" x 36")</v>
      </c>
      <c r="P163" t="str">
        <f>CONCAT("1 porte"," (",AA163,""" x ",AB163,""")")</f>
        <v>1 porte (18" x 36")</v>
      </c>
      <c r="Q163" s="1">
        <v>506</v>
      </c>
      <c r="R163" s="1">
        <f>Q163/11.25</f>
        <v>44.977777777777774</v>
      </c>
      <c r="S163" s="1">
        <f>R163*1.4</f>
        <v>62.96888888888888</v>
      </c>
      <c r="T163" s="1">
        <f>S163*1.1</f>
        <v>69.26577777777777</v>
      </c>
      <c r="U163" s="1">
        <f>T163*1.2</f>
        <v>83.11893333333332</v>
      </c>
      <c r="V163" s="1">
        <f>U163*1.2</f>
        <v>99.74271999999998</v>
      </c>
      <c r="W163" s="1">
        <f>V163*1.1</f>
        <v>109.71699199999999</v>
      </c>
      <c r="X163" s="1">
        <f>W163</f>
        <v>109.71699199999999</v>
      </c>
      <c r="Y163" s="2">
        <v>0.4</v>
      </c>
      <c r="Z163" s="1">
        <f>X163*(1+Y163)</f>
        <v>153.6037888</v>
      </c>
      <c r="AA163">
        <v>18</v>
      </c>
      <c r="AB163">
        <v>36</v>
      </c>
      <c r="AC163">
        <v>12</v>
      </c>
      <c r="AD163">
        <v>1</v>
      </c>
      <c r="AE163">
        <v>0</v>
      </c>
      <c r="AF163" t="str">
        <v>Wall kitchen cabinet with 1 door (18" x 36")</v>
      </c>
      <c r="AG163" t="str">
        <v>1 door (18" x 36")</v>
      </c>
    </row>
    <row r="164" hidden="1">
      <c r="A164" t="str">
        <v>S8-W1836-Door</v>
      </c>
      <c r="B164" t="b">
        <v>1</v>
      </c>
      <c r="E164" t="b">
        <f>IF(OR(B164=TRUE,C164=TRUE,D164=TRUE),FALSE,TRUE)</f>
        <v>0</v>
      </c>
      <c r="H164" t="str">
        <f>IF(ISNUMBER(SEARCH("muf",A164)),"Chêne blanc","Blanc")</f>
        <v>Blanc</v>
      </c>
      <c r="I164" t="str">
        <f>CONCAT(G164,IF(H164="","",IF(H164="Blanc","-CW","-WWO")))</f>
        <v>-CW</v>
      </c>
      <c r="K164" t="str">
        <v>wall-cabinet-standard</v>
      </c>
      <c r="M164" t="str">
        <f>IFERROR(VLOOKUP(K164,Categories!$A$2:$C$41,3,FALSE()),"⚠ slug introuvable")</f>
        <v>⚠ slug introuvable</v>
      </c>
      <c r="N164" t="str">
        <v>W1836-Door</v>
      </c>
      <c r="Q164" s="1">
        <v>0</v>
      </c>
      <c r="R164" s="1">
        <f>Q164/11.25</f>
        <v>0</v>
      </c>
      <c r="S164" s="1">
        <f>R164*1.4</f>
        <v>0</v>
      </c>
      <c r="T164" s="1">
        <f>S164*1.1</f>
        <v>0</v>
      </c>
      <c r="U164" s="1">
        <f>T164*1.2</f>
        <v>0</v>
      </c>
      <c r="V164" s="1">
        <f>U164*1.2</f>
        <v>0</v>
      </c>
      <c r="W164" s="1">
        <f>V164*1.1</f>
        <v>0</v>
      </c>
      <c r="X164" s="1">
        <f>W164</f>
        <v>0</v>
      </c>
      <c r="Y164" s="2">
        <v>0.4</v>
      </c>
      <c r="Z164" s="1">
        <f>X164*(1+Y164)</f>
        <v>0</v>
      </c>
      <c r="AA164">
        <v>18</v>
      </c>
      <c r="AB164">
        <v>36</v>
      </c>
      <c r="AC164">
        <v>12</v>
      </c>
      <c r="AD164">
        <v>1</v>
      </c>
      <c r="AE164">
        <v>0</v>
      </c>
    </row>
    <row r="165" hidden="1">
      <c r="A165" t="str">
        <v>S8-W1848</v>
      </c>
      <c r="E165" t="b">
        <f>IF(OR(B165=TRUE,C165=TRUE,D165=TRUE),FALSE,TRUE)</f>
        <v>1</v>
      </c>
      <c r="G165" t="str">
        <v>DOWC1848</v>
      </c>
      <c r="H165" t="str">
        <f>IF(ISNUMBER(SEARCH("muf",A165)),"Chêne blanc","Blanc")</f>
        <v>Blanc</v>
      </c>
      <c r="I165" t="str">
        <f>CONCAT(G165,IF(H165="","",IF(H165="Blanc","-CW","-WWO")))</f>
        <v>DOWC1848-CW</v>
      </c>
      <c r="J165" t="str">
        <v>wall-cabinet</v>
      </c>
      <c r="K165" t="str">
        <v>standard</v>
      </c>
      <c r="L165" t="str">
        <f>IFERROR(VLOOKUP(J165,Categories!$A$2:$C$41,3,FALSE()),"⚠ slug introuvable")</f>
        <v>Armoire murale</v>
      </c>
      <c r="M165" t="str">
        <f>IFERROR(VLOOKUP(K165,Categories!$A$2:$C$41,3,FALSE()),"⚠ slug introuvable")</f>
        <v>Standard</v>
      </c>
      <c r="N165" t="str">
        <v>Armoire de cuisine du haut à 1 porte</v>
      </c>
      <c r="O165" t="str">
        <f>CONCAT(N165," (",AA165,""" x ",AB165,""")")</f>
        <v>Armoire de cuisine du haut à 1 porte (18" x 48")</v>
      </c>
      <c r="P165" t="str">
        <f>CONCAT("1 porte"," (",AA165,""" x ",AB165,""")")</f>
        <v>1 porte (18" x 48")</v>
      </c>
      <c r="Q165" s="1">
        <v>887</v>
      </c>
      <c r="R165" s="1">
        <f>Q165/11.25</f>
        <v>78.84444444444445</v>
      </c>
      <c r="S165" s="1">
        <f>R165*1.4</f>
        <v>110.38222222222223</v>
      </c>
      <c r="T165" s="1">
        <f>S165*1.1</f>
        <v>121.42044444444446</v>
      </c>
      <c r="U165" s="1">
        <f>T165*1.2</f>
        <v>145.70453333333333</v>
      </c>
      <c r="V165" s="1">
        <f>U165*1.2</f>
        <v>174.84544</v>
      </c>
      <c r="W165" s="1">
        <f>V165*1.1</f>
        <v>192.32998400000002</v>
      </c>
      <c r="X165" s="1">
        <f>W165</f>
        <v>192.32998400000002</v>
      </c>
      <c r="Y165" s="2">
        <v>0.4</v>
      </c>
      <c r="Z165" s="1">
        <f>X165*(1+Y165)</f>
        <v>269.2619776</v>
      </c>
      <c r="AA165">
        <v>18</v>
      </c>
      <c r="AB165">
        <v>48</v>
      </c>
      <c r="AC165">
        <v>12</v>
      </c>
      <c r="AD165">
        <v>1</v>
      </c>
      <c r="AE165">
        <v>0</v>
      </c>
      <c r="AF165" t="str">
        <v>Wall kitchen cabinet with 1 door (18" x 48")</v>
      </c>
      <c r="AG165" t="str">
        <v>1 door (18" x 48")</v>
      </c>
    </row>
    <row r="166" hidden="1">
      <c r="A166" t="str">
        <v>S8-W2036</v>
      </c>
      <c r="E166" t="b">
        <f>IF(OR(B166=TRUE,C166=TRUE,D166=TRUE),FALSE,TRUE)</f>
        <v>1</v>
      </c>
      <c r="G166" t="str">
        <v>DOWC2036</v>
      </c>
      <c r="H166" t="str">
        <f>IF(ISNUMBER(SEARCH("muf",A166)),"Chêne blanc","Blanc")</f>
        <v>Blanc</v>
      </c>
      <c r="I166" t="str">
        <f>CONCAT(G166,IF(H166="","",IF(H166="Blanc","-CW","-WWO")))</f>
        <v>DOWC2036-CW</v>
      </c>
      <c r="J166" t="str">
        <v>wall-cabinet</v>
      </c>
      <c r="K166" t="str">
        <v>standard</v>
      </c>
      <c r="L166" t="str">
        <f>IFERROR(VLOOKUP(J166,Categories!$A$2:$C$41,3,FALSE()),"⚠ slug introuvable")</f>
        <v>Armoire murale</v>
      </c>
      <c r="M166" t="str">
        <f>IFERROR(VLOOKUP(K166,Categories!$A$2:$C$41,3,FALSE()),"⚠ slug introuvable")</f>
        <v>Standard</v>
      </c>
      <c r="N166" t="str">
        <v>Armoire de cuisine du haut à 1 porte</v>
      </c>
      <c r="O166" t="str">
        <f>CONCAT(N166," (",AA166,""" x ",AB166,""")")</f>
        <v>Armoire de cuisine du haut à 1 porte (20" x 36")</v>
      </c>
      <c r="P166" t="str">
        <f>CONCAT("1 porte"," (",AA166,""" x ",AB166,""")")</f>
        <v>1 porte (20" x 36")</v>
      </c>
      <c r="Q166" s="1">
        <v>554.4</v>
      </c>
      <c r="R166" s="1">
        <f>Q166/11.25</f>
        <v>49.28</v>
      </c>
      <c r="S166" s="1">
        <f>R166*1.4</f>
        <v>68.99199999999999</v>
      </c>
      <c r="T166" s="1">
        <f>S166*1.1</f>
        <v>75.8912</v>
      </c>
      <c r="U166" s="1">
        <f>T166*1.2</f>
        <v>91.06944</v>
      </c>
      <c r="V166" s="1">
        <f>U166*1.2</f>
        <v>109.283328</v>
      </c>
      <c r="W166" s="1">
        <f>V166*1.1</f>
        <v>120.2116608</v>
      </c>
      <c r="X166" s="1">
        <f>W166</f>
        <v>120.2116608</v>
      </c>
      <c r="Y166" s="2">
        <v>0.4</v>
      </c>
      <c r="Z166" s="1">
        <f>X166*(1+Y166)</f>
        <v>168.29632512</v>
      </c>
      <c r="AA166">
        <v>20</v>
      </c>
      <c r="AB166">
        <v>36</v>
      </c>
      <c r="AC166">
        <v>12</v>
      </c>
      <c r="AD166">
        <v>1</v>
      </c>
      <c r="AE166">
        <v>0</v>
      </c>
      <c r="AF166" t="str">
        <v>Wall kitchen cabinet with 1 door (20" x 36")</v>
      </c>
      <c r="AG166" t="str">
        <v>1 door (20" x 36")</v>
      </c>
    </row>
    <row r="167" hidden="1">
      <c r="A167" t="str">
        <v>S8-W2130</v>
      </c>
      <c r="E167" t="b">
        <f>IF(OR(B167=TRUE,C167=TRUE,D167=TRUE),FALSE,TRUE)</f>
        <v>1</v>
      </c>
      <c r="G167" t="str">
        <v>DOWC2130</v>
      </c>
      <c r="H167" t="str">
        <f>IF(ISNUMBER(SEARCH("muf",A167)),"Chêne blanc","Blanc")</f>
        <v>Blanc</v>
      </c>
      <c r="I167" t="str">
        <f>CONCAT(G167,IF(H167="","",IF(H167="Blanc","-CW","-WWO")))</f>
        <v>DOWC2130-CW</v>
      </c>
      <c r="J167" t="str">
        <v>wall-cabinet</v>
      </c>
      <c r="K167" t="str">
        <v>standard</v>
      </c>
      <c r="L167" t="str">
        <f>IFERROR(VLOOKUP(J167,Categories!$A$2:$C$41,3,FALSE()),"⚠ slug introuvable")</f>
        <v>Armoire murale</v>
      </c>
      <c r="M167" t="str">
        <f>IFERROR(VLOOKUP(K167,Categories!$A$2:$C$41,3,FALSE()),"⚠ slug introuvable")</f>
        <v>Standard</v>
      </c>
      <c r="N167" t="str">
        <v>Armoire de cuisine du haut à 1 porte</v>
      </c>
      <c r="O167" t="str">
        <f>CONCAT(N167," (",AA167,""" x ",AB167,""")")</f>
        <v>Armoire de cuisine du haut à 1 porte (21" x 30")</v>
      </c>
      <c r="P167" t="str">
        <f>CONCAT("1 porte"," (",AA167,""" x ",AB167,""")")</f>
        <v>1 porte (21" x 30")</v>
      </c>
      <c r="Q167" s="1">
        <v>501</v>
      </c>
      <c r="R167" s="1">
        <f>Q167/11.25</f>
        <v>44.53333333333333</v>
      </c>
      <c r="S167" s="1">
        <f>R167*1.4</f>
        <v>62.34666666666666</v>
      </c>
      <c r="T167" s="1">
        <f>S167*1.1</f>
        <v>68.58133333333333</v>
      </c>
      <c r="U167" s="1">
        <f>T167*1.2</f>
        <v>82.2976</v>
      </c>
      <c r="V167" s="1">
        <f>U167*1.2</f>
        <v>98.75712</v>
      </c>
      <c r="W167" s="1">
        <f>V167*1.1</f>
        <v>108.63283200000001</v>
      </c>
      <c r="X167" s="1">
        <f>W167</f>
        <v>108.63283200000001</v>
      </c>
      <c r="Y167" s="2">
        <v>0.4</v>
      </c>
      <c r="Z167" s="1">
        <f>X167*(1+Y167)</f>
        <v>152.0859648</v>
      </c>
      <c r="AA167">
        <v>21</v>
      </c>
      <c r="AB167">
        <v>30</v>
      </c>
      <c r="AC167">
        <v>12</v>
      </c>
      <c r="AD167">
        <v>1</v>
      </c>
      <c r="AE167">
        <v>0</v>
      </c>
      <c r="AF167" t="str">
        <v>Wall kitchen cabinet with 1 door (21" x 30")</v>
      </c>
      <c r="AG167" t="str">
        <v>1 door (21" x 30")</v>
      </c>
    </row>
    <row r="168" hidden="1">
      <c r="A168" t="str">
        <v>S8-W2136</v>
      </c>
      <c r="E168" t="b">
        <f>IF(OR(B168=TRUE,C168=TRUE,D168=TRUE),FALSE,TRUE)</f>
        <v>1</v>
      </c>
      <c r="G168" t="str">
        <v>DOWC2136</v>
      </c>
      <c r="H168" t="str">
        <f>IF(ISNUMBER(SEARCH("muf",A168)),"Chêne blanc","Blanc")</f>
        <v>Blanc</v>
      </c>
      <c r="I168" t="str">
        <f>CONCAT(G168,IF(H168="","",IF(H168="Blanc","-CW","-WWO")))</f>
        <v>DOWC2136-CW</v>
      </c>
      <c r="J168" t="str">
        <v>wall-cabinet</v>
      </c>
      <c r="K168" t="str">
        <v>standard</v>
      </c>
      <c r="L168" t="str">
        <f>IFERROR(VLOOKUP(J168,Categories!$A$2:$C$41,3,FALSE()),"⚠ slug introuvable")</f>
        <v>Armoire murale</v>
      </c>
      <c r="M168" t="str">
        <f>IFERROR(VLOOKUP(K168,Categories!$A$2:$C$41,3,FALSE()),"⚠ slug introuvable")</f>
        <v>Standard</v>
      </c>
      <c r="N168" t="str">
        <v>Armoire de cuisine du haut à 1 porte</v>
      </c>
      <c r="O168" t="str">
        <f>CONCAT(N168," (",AA168,""" x ",AB168,""")")</f>
        <v>Armoire de cuisine du haut à 1 porte (21" x 36")</v>
      </c>
      <c r="P168" t="str">
        <f>CONCAT("1 porte"," (",AA168,""" x ",AB168,""")")</f>
        <v>1 porte (21" x 36")</v>
      </c>
      <c r="Q168" s="1">
        <v>561</v>
      </c>
      <c r="R168" s="1">
        <f>Q168/11.25</f>
        <v>49.86666666666667</v>
      </c>
      <c r="S168" s="1">
        <f>R168*1.4</f>
        <v>69.81333333333333</v>
      </c>
      <c r="T168" s="1">
        <f>S168*1.1</f>
        <v>76.79466666666667</v>
      </c>
      <c r="U168" s="1">
        <f>T168*1.2</f>
        <v>92.1536</v>
      </c>
      <c r="V168" s="1">
        <f>U168*1.2</f>
        <v>110.58431999999999</v>
      </c>
      <c r="W168" s="1">
        <f>V168*1.1</f>
        <v>121.642752</v>
      </c>
      <c r="X168" s="1">
        <f>W168</f>
        <v>121.642752</v>
      </c>
      <c r="Y168" s="2">
        <v>0.4</v>
      </c>
      <c r="Z168" s="1">
        <f>X168*(1+Y168)</f>
        <v>170.2998528</v>
      </c>
      <c r="AA168">
        <v>21</v>
      </c>
      <c r="AB168">
        <v>36</v>
      </c>
      <c r="AC168">
        <v>12</v>
      </c>
      <c r="AD168">
        <v>1</v>
      </c>
      <c r="AE168">
        <v>0</v>
      </c>
      <c r="AF168" t="str">
        <v>Wall kitchen cabinet with 1 door (21" x 36")</v>
      </c>
      <c r="AG168" t="str">
        <v>1 door (21" x 36")</v>
      </c>
    </row>
    <row r="169" hidden="1">
      <c r="A169" t="str">
        <v>S8-W2136-Door</v>
      </c>
      <c r="B169" t="b">
        <v>1</v>
      </c>
      <c r="E169" t="b">
        <f>IF(OR(B169=TRUE,C169=TRUE,D169=TRUE),FALSE,TRUE)</f>
        <v>0</v>
      </c>
      <c r="H169" t="str">
        <f>IF(ISNUMBER(SEARCH("muf",A169)),"Chêne blanc","Blanc")</f>
        <v>Blanc</v>
      </c>
      <c r="I169" t="str">
        <f>CONCAT(G169,IF(H169="","",IF(H169="Blanc","-CW","-WWO")))</f>
        <v>-CW</v>
      </c>
      <c r="K169" t="str">
        <v>wall-cabinet-standard</v>
      </c>
      <c r="M169" t="str">
        <f>IFERROR(VLOOKUP(K169,Categories!$A$2:$C$41,3,FALSE()),"⚠ slug introuvable")</f>
        <v>⚠ slug introuvable</v>
      </c>
      <c r="N169" t="str">
        <v>W2136-Door</v>
      </c>
      <c r="Q169" s="1">
        <v>0</v>
      </c>
      <c r="R169" s="1">
        <f>Q169/11.25</f>
        <v>0</v>
      </c>
      <c r="S169" s="1">
        <f>R169*1.4</f>
        <v>0</v>
      </c>
      <c r="T169" s="1">
        <f>S169*1.1</f>
        <v>0</v>
      </c>
      <c r="U169" s="1">
        <f>T169*1.2</f>
        <v>0</v>
      </c>
      <c r="V169" s="1">
        <f>U169*1.2</f>
        <v>0</v>
      </c>
      <c r="W169" s="1">
        <f>V169*1.1</f>
        <v>0</v>
      </c>
      <c r="X169" s="1">
        <f>W169</f>
        <v>0</v>
      </c>
      <c r="Y169" s="2">
        <v>0.4</v>
      </c>
      <c r="Z169" s="1">
        <f>X169*(1+Y169)</f>
        <v>0</v>
      </c>
      <c r="AA169">
        <v>21</v>
      </c>
      <c r="AB169">
        <v>36</v>
      </c>
      <c r="AC169">
        <v>12</v>
      </c>
      <c r="AD169">
        <v>1</v>
      </c>
      <c r="AE169">
        <v>0</v>
      </c>
    </row>
    <row r="170" hidden="1">
      <c r="A170" t="str">
        <v>S8-W2148</v>
      </c>
      <c r="E170" t="b">
        <f>IF(OR(B170=TRUE,C170=TRUE,D170=TRUE),FALSE,TRUE)</f>
        <v>1</v>
      </c>
      <c r="G170" t="str">
        <v>DOWC2148</v>
      </c>
      <c r="H170" t="str">
        <f>IF(ISNUMBER(SEARCH("muf",A170)),"Chêne blanc","Blanc")</f>
        <v>Blanc</v>
      </c>
      <c r="I170" t="str">
        <f>CONCAT(G170,IF(H170="","",IF(H170="Blanc","-CW","-WWO")))</f>
        <v>DOWC2148-CW</v>
      </c>
      <c r="J170" t="str">
        <v>wall-cabinet</v>
      </c>
      <c r="K170" t="str">
        <v>standard</v>
      </c>
      <c r="L170" t="str">
        <f>IFERROR(VLOOKUP(J170,Categories!$A$2:$C$41,3,FALSE()),"⚠ slug introuvable")</f>
        <v>Armoire murale</v>
      </c>
      <c r="M170" t="str">
        <f>IFERROR(VLOOKUP(K170,Categories!$A$2:$C$41,3,FALSE()),"⚠ slug introuvable")</f>
        <v>Standard</v>
      </c>
      <c r="N170" t="str">
        <v>Armoire de cuisine du haut à 1 porte</v>
      </c>
      <c r="O170" t="str">
        <f>CONCAT(N170," (",AA170,""" x ",AB170,""")")</f>
        <v>Armoire de cuisine du haut à 1 porte (21" x 48")</v>
      </c>
      <c r="P170" t="str">
        <f>CONCAT("1 porte"," (",AA170,""" x ",AB170,""")")</f>
        <v>1 porte (21" x 48")</v>
      </c>
      <c r="Q170" s="1">
        <v>972</v>
      </c>
      <c r="R170" s="1">
        <f>Q170/11.25</f>
        <v>86.4</v>
      </c>
      <c r="S170" s="1">
        <f>R170*1.4</f>
        <v>120.96</v>
      </c>
      <c r="T170" s="1">
        <f>S170*1.1</f>
        <v>133.056</v>
      </c>
      <c r="U170" s="1">
        <f>T170*1.2</f>
        <v>159.6672</v>
      </c>
      <c r="V170" s="1">
        <f>U170*1.2</f>
        <v>191.60064</v>
      </c>
      <c r="W170" s="1">
        <f>V170*1.1</f>
        <v>210.760704</v>
      </c>
      <c r="X170" s="1">
        <f>W170</f>
        <v>210.760704</v>
      </c>
      <c r="Y170" s="2">
        <v>0.4</v>
      </c>
      <c r="Z170" s="1">
        <f>X170*(1+Y170)</f>
        <v>295.0649856</v>
      </c>
      <c r="AA170">
        <v>21</v>
      </c>
      <c r="AB170">
        <v>48</v>
      </c>
      <c r="AC170">
        <v>12</v>
      </c>
      <c r="AD170">
        <v>1</v>
      </c>
      <c r="AE170">
        <v>0</v>
      </c>
      <c r="AF170" t="str">
        <v>Wall kitchen cabinet with 1 door (21" x 48")</v>
      </c>
      <c r="AG170" t="str">
        <v>1 door (21" x 48")</v>
      </c>
    </row>
    <row r="171" hidden="1">
      <c r="A171" t="str">
        <v>S8-W2336</v>
      </c>
      <c r="E171" t="b">
        <f>IF(OR(B171=TRUE,C171=TRUE,D171=TRUE),FALSE,TRUE)</f>
        <v>1</v>
      </c>
      <c r="G171" t="str">
        <v>DOWC2336</v>
      </c>
      <c r="H171" t="str">
        <f>IF(ISNUMBER(SEARCH("muf",A171)),"Chêne blanc","Blanc")</f>
        <v>Blanc</v>
      </c>
      <c r="I171" t="str">
        <f>CONCAT(G171,IF(H171="","",IF(H171="Blanc","-CW","-WWO")))</f>
        <v>DOWC2336-CW</v>
      </c>
      <c r="J171" t="str">
        <v>wall-cabinet</v>
      </c>
      <c r="K171" t="str">
        <v>standard</v>
      </c>
      <c r="L171" t="str">
        <f>IFERROR(VLOOKUP(J171,Categories!$A$2:$C$41,3,FALSE()),"⚠ slug introuvable")</f>
        <v>Armoire murale</v>
      </c>
      <c r="M171" t="str">
        <f>IFERROR(VLOOKUP(K171,Categories!$A$2:$C$41,3,FALSE()),"⚠ slug introuvable")</f>
        <v>Standard</v>
      </c>
      <c r="N171" t="str">
        <v>Armoire de cuisine du haut à 1 porte</v>
      </c>
      <c r="O171" t="str">
        <f>CONCAT(N171," (",AA171,""" x ",AB171,""")")</f>
        <v>Armoire de cuisine du haut à 1 porte (23" x 36")</v>
      </c>
      <c r="P171" t="str">
        <f>CONCAT("1 porte"," (",AA171,""" x ",AB171,""")")</f>
        <v>1 porte (23" x 36")</v>
      </c>
      <c r="Q171" s="1">
        <v>641.36</v>
      </c>
      <c r="R171" s="1">
        <f>Q171/11.25</f>
        <v>57.00977777777778</v>
      </c>
      <c r="S171" s="1">
        <f>R171*1.4</f>
        <v>79.81368888888889</v>
      </c>
      <c r="T171" s="1">
        <f>S171*1.1</f>
        <v>87.79505777777779</v>
      </c>
      <c r="U171" s="1">
        <f>T171*1.2</f>
        <v>105.35406933333334</v>
      </c>
      <c r="V171" s="1">
        <f>U171*1.2</f>
        <v>126.42488320000001</v>
      </c>
      <c r="W171" s="1">
        <f>V171*1.1</f>
        <v>139.06737152000002</v>
      </c>
      <c r="X171" s="1">
        <f>W171</f>
        <v>139.06737152000002</v>
      </c>
      <c r="Y171" s="2">
        <v>0.4</v>
      </c>
      <c r="Z171" s="1">
        <f>X171*(1+Y171)</f>
        <v>194.69432012800002</v>
      </c>
      <c r="AA171">
        <v>23</v>
      </c>
      <c r="AB171">
        <v>36</v>
      </c>
      <c r="AC171">
        <v>12</v>
      </c>
      <c r="AD171">
        <v>1</v>
      </c>
      <c r="AE171">
        <v>0</v>
      </c>
      <c r="AF171" t="str">
        <v>Wall kitchen cabinet with 1 door (23" x 36")</v>
      </c>
      <c r="AG171" t="str">
        <v>1 door (23" x 36")</v>
      </c>
    </row>
    <row r="172" hidden="1">
      <c r="A172" t="str">
        <v>S8-W2430</v>
      </c>
      <c r="E172" t="b">
        <f>IF(OR(B172=TRUE,C172=TRUE,D172=TRUE),FALSE,TRUE)</f>
        <v>1</v>
      </c>
      <c r="G172" t="str">
        <v>DOWC2430</v>
      </c>
      <c r="H172" t="str">
        <f>IF(ISNUMBER(SEARCH("muf",A172)),"Chêne blanc","Blanc")</f>
        <v>Blanc</v>
      </c>
      <c r="I172" t="str">
        <f>CONCAT(G172,IF(H172="","",IF(H172="Blanc","-CW","-WWO")))</f>
        <v>DOWC2430-CW</v>
      </c>
      <c r="J172" t="str">
        <v>wall-cabinet</v>
      </c>
      <c r="K172" t="str">
        <v>standard</v>
      </c>
      <c r="L172" t="str">
        <f>IFERROR(VLOOKUP(J172,Categories!$A$2:$C$41,3,FALSE()),"⚠ slug introuvable")</f>
        <v>Armoire murale</v>
      </c>
      <c r="M172" t="str">
        <f>IFERROR(VLOOKUP(K172,Categories!$A$2:$C$41,3,FALSE()),"⚠ slug introuvable")</f>
        <v>Standard</v>
      </c>
      <c r="N172" t="str">
        <v>Armoire de cuisine du haut à 2 portes</v>
      </c>
      <c r="O172" t="str">
        <f>CONCAT(N172," (",AA172,""" x ",AB172,""")")</f>
        <v>Armoire de cuisine du haut à 2 portes (24" x 30")</v>
      </c>
      <c r="P172" t="str">
        <f>CONCAT("2 portes"," (",AA172,""" x ",AB172,""")")</f>
        <v>2 portes (24" x 30")</v>
      </c>
      <c r="Q172" s="1">
        <v>565</v>
      </c>
      <c r="R172" s="1">
        <f>Q172/11.25</f>
        <v>50.22222222222222</v>
      </c>
      <c r="S172" s="1">
        <f>R172*1.4</f>
        <v>70.3111111111111</v>
      </c>
      <c r="T172" s="1">
        <f>S172*1.1</f>
        <v>77.34222222222222</v>
      </c>
      <c r="U172" s="1">
        <f>T172*1.2</f>
        <v>92.81066666666666</v>
      </c>
      <c r="V172" s="1">
        <f>U172*1.2</f>
        <v>111.3728</v>
      </c>
      <c r="W172" s="1">
        <f>V172*1.1</f>
        <v>122.51008</v>
      </c>
      <c r="X172" s="1">
        <f>W172</f>
        <v>122.51008</v>
      </c>
      <c r="Y172" s="2">
        <v>0.4</v>
      </c>
      <c r="Z172" s="1">
        <f>X172*(1+Y172)</f>
        <v>171.51411199999998</v>
      </c>
      <c r="AA172">
        <v>24</v>
      </c>
      <c r="AB172">
        <v>30</v>
      </c>
      <c r="AC172">
        <v>12</v>
      </c>
      <c r="AD172">
        <v>2</v>
      </c>
      <c r="AE172">
        <v>0</v>
      </c>
      <c r="AF172" t="str">
        <v>Wall kitchen cabinet with 2 doors (24" x 30")</v>
      </c>
      <c r="AG172" t="str">
        <v>2 doors (24" x 30")</v>
      </c>
    </row>
    <row r="173" hidden="1">
      <c r="A173" t="str">
        <v>S8-W2436</v>
      </c>
      <c r="E173" t="b">
        <f>IF(OR(B173=TRUE,C173=TRUE,D173=TRUE),FALSE,TRUE)</f>
        <v>1</v>
      </c>
      <c r="G173" t="str">
        <v>DOWC2436</v>
      </c>
      <c r="H173" t="str">
        <f>IF(ISNUMBER(SEARCH("muf",A173)),"Chêne blanc","Blanc")</f>
        <v>Blanc</v>
      </c>
      <c r="I173" t="str">
        <f>CONCAT(G173,IF(H173="","",IF(H173="Blanc","-CW","-WWO")))</f>
        <v>DOWC2436-CW</v>
      </c>
      <c r="J173" t="str">
        <v>wall-cabinet</v>
      </c>
      <c r="K173" t="str">
        <v>standard</v>
      </c>
      <c r="L173" t="str">
        <f>IFERROR(VLOOKUP(J173,Categories!$A$2:$C$41,3,FALSE()),"⚠ slug introuvable")</f>
        <v>Armoire murale</v>
      </c>
      <c r="M173" t="str">
        <f>IFERROR(VLOOKUP(K173,Categories!$A$2:$C$41,3,FALSE()),"⚠ slug introuvable")</f>
        <v>Standard</v>
      </c>
      <c r="N173" t="str">
        <v>Armoire de cuisine du haut à 2 portes</v>
      </c>
      <c r="O173" t="str">
        <f>CONCAT(N173," (",AA173,""" x ",AB173,""")")</f>
        <v>Armoire de cuisine du haut à 2 portes (24" x 36")</v>
      </c>
      <c r="P173" t="str">
        <f>CONCAT("2 portes"," (",AA173,""" x ",AB173,""")")</f>
        <v>2 portes (24" x 36")</v>
      </c>
      <c r="Q173" s="1">
        <v>649</v>
      </c>
      <c r="R173" s="1">
        <f>Q173/11.25</f>
        <v>57.68888888888889</v>
      </c>
      <c r="S173" s="1">
        <f>R173*1.4</f>
        <v>80.76444444444444</v>
      </c>
      <c r="T173" s="1">
        <f>S173*1.1</f>
        <v>88.84088888888888</v>
      </c>
      <c r="U173" s="1">
        <f>T173*1.2</f>
        <v>106.60906666666666</v>
      </c>
      <c r="V173" s="1">
        <f>U173*1.2</f>
        <v>127.93087999999999</v>
      </c>
      <c r="W173" s="1">
        <f>V173*1.1</f>
        <v>140.72396799999999</v>
      </c>
      <c r="X173" s="1">
        <f>W173</f>
        <v>140.72396799999999</v>
      </c>
      <c r="Y173" s="2">
        <v>0.4</v>
      </c>
      <c r="Z173" s="1">
        <f>X173*(1+Y173)</f>
        <v>197.01355519999996</v>
      </c>
      <c r="AA173">
        <v>24</v>
      </c>
      <c r="AB173">
        <v>36</v>
      </c>
      <c r="AC173">
        <v>12</v>
      </c>
      <c r="AD173">
        <v>2</v>
      </c>
      <c r="AE173">
        <v>0</v>
      </c>
      <c r="AF173" t="str">
        <v>Wall kitchen cabinet with 2 doors (24" x 36")</v>
      </c>
      <c r="AG173" t="str">
        <v>2 doors (24" x 36")</v>
      </c>
    </row>
    <row r="174" hidden="1">
      <c r="A174" t="str">
        <v>S8-W2436-Door</v>
      </c>
      <c r="B174" t="b">
        <v>1</v>
      </c>
      <c r="E174" t="b">
        <f>IF(OR(B174=TRUE,C174=TRUE,D174=TRUE),FALSE,TRUE)</f>
        <v>0</v>
      </c>
      <c r="H174" t="str">
        <f>IF(ISNUMBER(SEARCH("muf",A174)),"Chêne blanc","Blanc")</f>
        <v>Blanc</v>
      </c>
      <c r="I174" t="str">
        <f>CONCAT(G174,IF(H174="","",IF(H174="Blanc","-CW","-WWO")))</f>
        <v>-CW</v>
      </c>
      <c r="K174" t="str">
        <v>wall-cabinet-standard</v>
      </c>
      <c r="M174" t="str">
        <f>IFERROR(VLOOKUP(K174,Categories!$A$2:$C$41,3,FALSE()),"⚠ slug introuvable")</f>
        <v>⚠ slug introuvable</v>
      </c>
      <c r="N174" t="str">
        <v>W2436-Door</v>
      </c>
      <c r="Q174" s="1">
        <v>0</v>
      </c>
      <c r="R174" s="1">
        <f>Q174/11.25</f>
        <v>0</v>
      </c>
      <c r="S174" s="1">
        <f>R174*1.4</f>
        <v>0</v>
      </c>
      <c r="T174" s="1">
        <f>S174*1.1</f>
        <v>0</v>
      </c>
      <c r="U174" s="1">
        <f>T174*1.2</f>
        <v>0</v>
      </c>
      <c r="V174" s="1">
        <f>U174*1.2</f>
        <v>0</v>
      </c>
      <c r="W174" s="1">
        <f>V174*1.1</f>
        <v>0</v>
      </c>
      <c r="X174" s="1">
        <f>W174</f>
        <v>0</v>
      </c>
      <c r="Y174" s="2">
        <v>0.4</v>
      </c>
      <c r="Z174" s="1">
        <f>X174*(1+Y174)</f>
        <v>0</v>
      </c>
      <c r="AA174">
        <v>24</v>
      </c>
      <c r="AB174">
        <v>36</v>
      </c>
      <c r="AC174">
        <v>12</v>
      </c>
      <c r="AD174">
        <v>2</v>
      </c>
      <c r="AE174">
        <v>0</v>
      </c>
    </row>
    <row r="175" hidden="1">
      <c r="A175" t="str">
        <v>S8-W2448</v>
      </c>
      <c r="E175" t="b">
        <f>IF(OR(B175=TRUE,C175=TRUE,D175=TRUE),FALSE,TRUE)</f>
        <v>1</v>
      </c>
      <c r="G175" t="str">
        <v>DOWC2448</v>
      </c>
      <c r="H175" t="str">
        <f>IF(ISNUMBER(SEARCH("muf",A175)),"Chêne blanc","Blanc")</f>
        <v>Blanc</v>
      </c>
      <c r="I175" t="str">
        <f>CONCAT(G175,IF(H175="","",IF(H175="Blanc","-CW","-WWO")))</f>
        <v>DOWC2448-CW</v>
      </c>
      <c r="J175" t="str">
        <v>wall-cabinet</v>
      </c>
      <c r="K175" t="str">
        <v>standard</v>
      </c>
      <c r="L175" t="str">
        <f>IFERROR(VLOOKUP(J175,Categories!$A$2:$C$41,3,FALSE()),"⚠ slug introuvable")</f>
        <v>Armoire murale</v>
      </c>
      <c r="M175" t="str">
        <f>IFERROR(VLOOKUP(K175,Categories!$A$2:$C$41,3,FALSE()),"⚠ slug introuvable")</f>
        <v>Standard</v>
      </c>
      <c r="N175" t="str">
        <v>Armoire de cuisine du haut à 2 portes</v>
      </c>
      <c r="O175" t="str">
        <f>CONCAT(N175," (",AA175,""" x ",AB175,""")")</f>
        <v>Armoire de cuisine du haut à 2 portes (24" x 48")</v>
      </c>
      <c r="P175" t="str">
        <f>CONCAT("2 portes"," (",AA175,""" x ",AB175,""")")</f>
        <v>2 portes (24" x 48")</v>
      </c>
      <c r="Q175" s="1">
        <v>1193</v>
      </c>
      <c r="R175" s="1">
        <f>Q175/11.25</f>
        <v>106.04444444444445</v>
      </c>
      <c r="S175" s="1">
        <f>R175*1.4</f>
        <v>148.4622222222222</v>
      </c>
      <c r="T175" s="1">
        <f>S175*1.1</f>
        <v>163.30844444444443</v>
      </c>
      <c r="U175" s="1">
        <f>T175*1.2</f>
        <v>195.9701333333333</v>
      </c>
      <c r="V175" s="1">
        <f>U175*1.2</f>
        <v>235.16415999999995</v>
      </c>
      <c r="W175" s="1">
        <f>V175*1.1</f>
        <v>258.680576</v>
      </c>
      <c r="X175" s="1">
        <f>W175</f>
        <v>258.680576</v>
      </c>
      <c r="Y175" s="2">
        <v>0.4</v>
      </c>
      <c r="Z175" s="1">
        <f>X175*(1+Y175)</f>
        <v>362.1528063999999</v>
      </c>
      <c r="AA175">
        <v>24</v>
      </c>
      <c r="AB175">
        <v>48</v>
      </c>
      <c r="AC175">
        <v>12</v>
      </c>
      <c r="AD175">
        <v>2</v>
      </c>
      <c r="AE175">
        <v>0</v>
      </c>
      <c r="AF175" t="str">
        <v>Wall kitchen cabinet with 2 doors (24" x 48")</v>
      </c>
      <c r="AG175" t="str">
        <v>2 doors (24" x 48")</v>
      </c>
    </row>
    <row r="176" hidden="1">
      <c r="A176" t="str">
        <v>S8-W2730</v>
      </c>
      <c r="E176" t="b">
        <f>IF(OR(B176=TRUE,C176=TRUE,D176=TRUE),FALSE,TRUE)</f>
        <v>1</v>
      </c>
      <c r="G176" t="str">
        <v>DOWC2730</v>
      </c>
      <c r="H176" t="str">
        <f>IF(ISNUMBER(SEARCH("muf",A176)),"Chêne blanc","Blanc")</f>
        <v>Blanc</v>
      </c>
      <c r="I176" t="str">
        <f>CONCAT(G176,IF(H176="","",IF(H176="Blanc","-CW","-WWO")))</f>
        <v>DOWC2730-CW</v>
      </c>
      <c r="J176" t="str">
        <v>wall-cabinet</v>
      </c>
      <c r="K176" t="str">
        <v>standard</v>
      </c>
      <c r="L176" t="str">
        <f>IFERROR(VLOOKUP(J176,Categories!$A$2:$C$41,3,FALSE()),"⚠ slug introuvable")</f>
        <v>Armoire murale</v>
      </c>
      <c r="M176" t="str">
        <f>IFERROR(VLOOKUP(K176,Categories!$A$2:$C$41,3,FALSE()),"⚠ slug introuvable")</f>
        <v>Standard</v>
      </c>
      <c r="N176" t="str">
        <v>Armoire de cuisine du haut à 2 portes</v>
      </c>
      <c r="O176" t="str">
        <f>CONCAT(N176," (",AA176,""" x ",AB176,""")")</f>
        <v>Armoire de cuisine du haut à 2 portes (27" x 30")</v>
      </c>
      <c r="P176" t="str">
        <f>CONCAT("2 portes"," (",AA176,""" x ",AB176,""")")</f>
        <v>2 portes (27" x 30")</v>
      </c>
      <c r="Q176" s="1">
        <v>613</v>
      </c>
      <c r="R176" s="1">
        <f>Q176/11.25</f>
        <v>54.48888888888889</v>
      </c>
      <c r="S176" s="1">
        <f>R176*1.4</f>
        <v>76.28444444444443</v>
      </c>
      <c r="T176" s="1">
        <f>S176*1.1</f>
        <v>83.91288888888889</v>
      </c>
      <c r="U176" s="1">
        <f>T176*1.2</f>
        <v>100.69546666666666</v>
      </c>
      <c r="V176" s="1">
        <f>U176*1.2</f>
        <v>120.83455999999998</v>
      </c>
      <c r="W176" s="1">
        <f>V176*1.1</f>
        <v>132.918016</v>
      </c>
      <c r="X176" s="1">
        <f>W176</f>
        <v>132.918016</v>
      </c>
      <c r="Y176" s="2">
        <v>0.4</v>
      </c>
      <c r="Z176" s="1">
        <f>X176*(1+Y176)</f>
        <v>186.0852224</v>
      </c>
      <c r="AA176">
        <v>27</v>
      </c>
      <c r="AB176">
        <v>30</v>
      </c>
      <c r="AC176">
        <v>12</v>
      </c>
      <c r="AD176">
        <v>2</v>
      </c>
      <c r="AE176">
        <v>0</v>
      </c>
      <c r="AF176" t="str">
        <v>Wall kitchen cabinet with 2 doors (27" x 30")</v>
      </c>
      <c r="AG176" t="str">
        <v>2 doors (27" x 30")</v>
      </c>
    </row>
    <row r="177" hidden="1">
      <c r="A177" t="str">
        <v>S8-W2736</v>
      </c>
      <c r="E177" t="b">
        <f>IF(OR(B177=TRUE,C177=TRUE,D177=TRUE),FALSE,TRUE)</f>
        <v>1</v>
      </c>
      <c r="G177" t="str">
        <v>DOWC2736</v>
      </c>
      <c r="H177" t="str">
        <f>IF(ISNUMBER(SEARCH("muf",A177)),"Chêne blanc","Blanc")</f>
        <v>Blanc</v>
      </c>
      <c r="I177" t="str">
        <f>CONCAT(G177,IF(H177="","",IF(H177="Blanc","-CW","-WWO")))</f>
        <v>DOWC2736-CW</v>
      </c>
      <c r="J177" t="str">
        <v>wall-cabinet</v>
      </c>
      <c r="K177" t="str">
        <v>standard</v>
      </c>
      <c r="L177" t="str">
        <f>IFERROR(VLOOKUP(J177,Categories!$A$2:$C$41,3,FALSE()),"⚠ slug introuvable")</f>
        <v>Armoire murale</v>
      </c>
      <c r="M177" t="str">
        <f>IFERROR(VLOOKUP(K177,Categories!$A$2:$C$41,3,FALSE()),"⚠ slug introuvable")</f>
        <v>Standard</v>
      </c>
      <c r="N177" t="str">
        <v>Armoire de cuisine du haut à 2 portes</v>
      </c>
      <c r="O177" t="str">
        <f>CONCAT(N177," (",AA177,""" x ",AB177,""")")</f>
        <v>Armoire de cuisine du haut à 2 portes (27" x 36")</v>
      </c>
      <c r="P177" t="str">
        <f>CONCAT("2 portes"," (",AA177,""" x ",AB177,""")")</f>
        <v>2 portes (27" x 36")</v>
      </c>
      <c r="Q177" s="1">
        <v>702</v>
      </c>
      <c r="R177" s="1">
        <f>Q177/11.25</f>
        <v>62.4</v>
      </c>
      <c r="S177" s="1">
        <f>R177*1.4</f>
        <v>87.36</v>
      </c>
      <c r="T177" s="1">
        <f>S177*1.1</f>
        <v>96.096</v>
      </c>
      <c r="U177" s="1">
        <f>T177*1.2</f>
        <v>115.3152</v>
      </c>
      <c r="V177" s="1">
        <f>U177*1.2</f>
        <v>138.37824</v>
      </c>
      <c r="W177" s="1">
        <f>V177*1.1</f>
        <v>152.21606400000002</v>
      </c>
      <c r="X177" s="1">
        <f>W177</f>
        <v>152.21606400000002</v>
      </c>
      <c r="Y177" s="2">
        <v>0.4</v>
      </c>
      <c r="Z177" s="1">
        <f>X177*(1+Y177)</f>
        <v>213.1024896</v>
      </c>
      <c r="AA177">
        <v>27</v>
      </c>
      <c r="AB177">
        <v>36</v>
      </c>
      <c r="AC177">
        <v>12</v>
      </c>
      <c r="AD177">
        <v>2</v>
      </c>
      <c r="AE177">
        <v>0</v>
      </c>
      <c r="AF177" t="str">
        <v>Wall kitchen cabinet with 2 doors (27" x 36")</v>
      </c>
      <c r="AG177" t="str">
        <v>2 doors (27" x 36")</v>
      </c>
    </row>
    <row r="178" hidden="1">
      <c r="A178" t="str">
        <v>S8-W2736-Door</v>
      </c>
      <c r="B178" t="b">
        <v>1</v>
      </c>
      <c r="E178" t="b">
        <f>IF(OR(B178=TRUE,C178=TRUE,D178=TRUE),FALSE,TRUE)</f>
        <v>0</v>
      </c>
      <c r="H178" t="str">
        <f>IF(ISNUMBER(SEARCH("muf",A178)),"Chêne blanc","Blanc")</f>
        <v>Blanc</v>
      </c>
      <c r="I178" t="str">
        <f>CONCAT(G178,IF(H178="","",IF(H178="Blanc","-CW","-WWO")))</f>
        <v>-CW</v>
      </c>
      <c r="K178" t="str">
        <v>wall-cabinet-standard</v>
      </c>
      <c r="M178" t="str">
        <f>IFERROR(VLOOKUP(K178,Categories!$A$2:$C$41,3,FALSE()),"⚠ slug introuvable")</f>
        <v>⚠ slug introuvable</v>
      </c>
      <c r="N178" t="str">
        <v>W2736-Door</v>
      </c>
      <c r="Q178" s="1">
        <v>0</v>
      </c>
      <c r="R178" s="1">
        <f>Q178/11.25</f>
        <v>0</v>
      </c>
      <c r="S178" s="1">
        <f>R178*1.4</f>
        <v>0</v>
      </c>
      <c r="T178" s="1">
        <f>S178*1.1</f>
        <v>0</v>
      </c>
      <c r="U178" s="1">
        <f>T178*1.2</f>
        <v>0</v>
      </c>
      <c r="V178" s="1">
        <f>U178*1.2</f>
        <v>0</v>
      </c>
      <c r="W178" s="1">
        <f>V178*1.1</f>
        <v>0</v>
      </c>
      <c r="X178" s="1">
        <f>W178</f>
        <v>0</v>
      </c>
      <c r="Y178" s="2">
        <v>0.4</v>
      </c>
      <c r="Z178" s="1">
        <f>X178*(1+Y178)</f>
        <v>0</v>
      </c>
      <c r="AA178">
        <v>27</v>
      </c>
      <c r="AB178">
        <v>36</v>
      </c>
      <c r="AC178">
        <v>12</v>
      </c>
      <c r="AD178">
        <v>2</v>
      </c>
      <c r="AE178">
        <v>0</v>
      </c>
    </row>
    <row r="179" hidden="1">
      <c r="A179" t="str">
        <v>S8-W2748</v>
      </c>
      <c r="E179" t="b">
        <f>IF(OR(B179=TRUE,C179=TRUE,D179=TRUE),FALSE,TRUE)</f>
        <v>1</v>
      </c>
      <c r="G179" t="str">
        <v>DOWC2748</v>
      </c>
      <c r="H179" t="str">
        <f>IF(ISNUMBER(SEARCH("muf",A179)),"Chêne blanc","Blanc")</f>
        <v>Blanc</v>
      </c>
      <c r="I179" t="str">
        <f>CONCAT(G179,IF(H179="","",IF(H179="Blanc","-CW","-WWO")))</f>
        <v>DOWC2748-CW</v>
      </c>
      <c r="J179" t="str">
        <v>wall-cabinet</v>
      </c>
      <c r="K179" t="str">
        <v>standard</v>
      </c>
      <c r="L179" t="str">
        <f>IFERROR(VLOOKUP(J179,Categories!$A$2:$C$41,3,FALSE()),"⚠ slug introuvable")</f>
        <v>Armoire murale</v>
      </c>
      <c r="M179" t="str">
        <f>IFERROR(VLOOKUP(K179,Categories!$A$2:$C$41,3,FALSE()),"⚠ slug introuvable")</f>
        <v>Standard</v>
      </c>
      <c r="N179" t="str">
        <v>Armoire de cuisine du haut à 2 portes</v>
      </c>
      <c r="O179" t="str">
        <f>CONCAT(N179," (",AA179,""" x ",AB179,""")")</f>
        <v>Armoire de cuisine du haut à 2 portes (27" x 48")</v>
      </c>
      <c r="P179" t="str">
        <f>CONCAT("2 portes"," (",AA179,""" x ",AB179,""")")</f>
        <v>2 portes (27" x 48")</v>
      </c>
      <c r="Q179" s="1">
        <v>1289</v>
      </c>
      <c r="R179" s="1">
        <f>Q179/11.25</f>
        <v>114.57777777777778</v>
      </c>
      <c r="S179" s="1">
        <f>R179*1.4</f>
        <v>160.4088888888889</v>
      </c>
      <c r="T179" s="1">
        <f>S179*1.1</f>
        <v>176.4497777777778</v>
      </c>
      <c r="U179" s="1">
        <f>T179*1.2</f>
        <v>211.73973333333336</v>
      </c>
      <c r="V179" s="1">
        <f>U179*1.2</f>
        <v>254.08768000000003</v>
      </c>
      <c r="W179" s="1">
        <f>V179*1.1</f>
        <v>279.49644800000004</v>
      </c>
      <c r="X179" s="1">
        <f>W179</f>
        <v>279.49644800000004</v>
      </c>
      <c r="Y179" s="2">
        <v>0.4</v>
      </c>
      <c r="Z179" s="1">
        <f>X179*(1+Y179)</f>
        <v>391.29502720000005</v>
      </c>
      <c r="AA179">
        <v>27</v>
      </c>
      <c r="AB179">
        <v>48</v>
      </c>
      <c r="AC179">
        <v>12</v>
      </c>
      <c r="AD179">
        <v>2</v>
      </c>
      <c r="AE179">
        <v>0</v>
      </c>
      <c r="AF179" t="str">
        <v>Wall kitchen cabinet with 2 doors (27" x 48")</v>
      </c>
      <c r="AG179" t="str">
        <v>2 doors (27" x 48")</v>
      </c>
    </row>
    <row r="180" hidden="1">
      <c r="A180" t="str">
        <v>S8-W3012</v>
      </c>
      <c r="E180" t="b">
        <f>IF(OR(B180=TRUE,C180=TRUE,D180=TRUE),FALSE,TRUE)</f>
        <v>1</v>
      </c>
      <c r="G180" t="str">
        <v>DOWC3012</v>
      </c>
      <c r="H180" t="str">
        <f>IF(ISNUMBER(SEARCH("muf",A180)),"Chêne blanc","Blanc")</f>
        <v>Blanc</v>
      </c>
      <c r="I180" t="str">
        <f>CONCAT(G180,IF(H180="","",IF(H180="Blanc","-CW","-WWO")))</f>
        <v>DOWC3012-CW</v>
      </c>
      <c r="J180" t="str">
        <v>wall-cabinet</v>
      </c>
      <c r="K180" t="str">
        <v>standard</v>
      </c>
      <c r="L180" t="str">
        <f>IFERROR(VLOOKUP(J180,Categories!$A$2:$C$41,3,FALSE()),"⚠ slug introuvable")</f>
        <v>Armoire murale</v>
      </c>
      <c r="M180" t="str">
        <f>IFERROR(VLOOKUP(K180,Categories!$A$2:$C$41,3,FALSE()),"⚠ slug introuvable")</f>
        <v>Standard</v>
      </c>
      <c r="N180" t="str">
        <v>Armoire de cuisine du haut à 2 portes</v>
      </c>
      <c r="O180" t="str">
        <f>CONCAT(N180," (",AA180,""" x ",AB180,""")")</f>
        <v>Armoire de cuisine du haut à 2 portes (30" x 12")</v>
      </c>
      <c r="P180" t="str">
        <f>CONCAT("2 portes"," (",AA180,""" x ",AB180,""")")</f>
        <v>2 portes (30" x 12")</v>
      </c>
      <c r="Q180" s="1">
        <v>314</v>
      </c>
      <c r="R180" s="1">
        <f>Q180/11.25</f>
        <v>27.91111111111111</v>
      </c>
      <c r="S180" s="1">
        <f>R180*1.4</f>
        <v>39.07555555555555</v>
      </c>
      <c r="T180" s="1">
        <f>S180*1.1</f>
        <v>42.983111111111114</v>
      </c>
      <c r="U180" s="1">
        <f>T180*1.2</f>
        <v>51.57973333333334</v>
      </c>
      <c r="V180" s="1">
        <f>U180*1.2</f>
        <v>61.89568</v>
      </c>
      <c r="W180" s="1">
        <f>V180*1.1</f>
        <v>68.085248</v>
      </c>
      <c r="X180" s="1">
        <f>W180</f>
        <v>68.085248</v>
      </c>
      <c r="Y180" s="2">
        <v>0.4</v>
      </c>
      <c r="Z180" s="1">
        <f>X180*(1+Y180)</f>
        <v>95.31934720000001</v>
      </c>
      <c r="AA180">
        <v>30</v>
      </c>
      <c r="AB180">
        <v>12</v>
      </c>
      <c r="AC180">
        <v>12</v>
      </c>
      <c r="AD180">
        <v>2</v>
      </c>
      <c r="AE180">
        <v>0</v>
      </c>
      <c r="AF180" t="str">
        <v>Wall kitchen cabinet with 2 doors (30" x 12")</v>
      </c>
      <c r="AG180" t="str">
        <v>2 doors (30" x 12")</v>
      </c>
    </row>
    <row r="181" hidden="1">
      <c r="A181" t="str">
        <v>S8-W3015</v>
      </c>
      <c r="E181" t="b">
        <f>IF(OR(B181=TRUE,C181=TRUE,D181=TRUE),FALSE,TRUE)</f>
        <v>1</v>
      </c>
      <c r="G181" t="str">
        <v>DOWC3015</v>
      </c>
      <c r="H181" t="str">
        <f>IF(ISNUMBER(SEARCH("muf",A181)),"Chêne blanc","Blanc")</f>
        <v>Blanc</v>
      </c>
      <c r="I181" t="str">
        <f>CONCAT(G181,IF(H181="","",IF(H181="Blanc","-CW","-WWO")))</f>
        <v>DOWC3015-CW</v>
      </c>
      <c r="J181" t="str">
        <v>wall-cabinet</v>
      </c>
      <c r="K181" t="str">
        <v>standard</v>
      </c>
      <c r="L181" t="str">
        <f>IFERROR(VLOOKUP(J181,Categories!$A$2:$C$41,3,FALSE()),"⚠ slug introuvable")</f>
        <v>Armoire murale</v>
      </c>
      <c r="M181" t="str">
        <f>IFERROR(VLOOKUP(K181,Categories!$A$2:$C$41,3,FALSE()),"⚠ slug introuvable")</f>
        <v>Standard</v>
      </c>
      <c r="N181" t="str">
        <v>Armoire de cuisine du haut à 2 portes</v>
      </c>
      <c r="O181" t="str">
        <f>CONCAT(N181," (",AA181,""" x ",AB181,""")")</f>
        <v>Armoire de cuisine du haut à 2 portes (30" x 15")</v>
      </c>
      <c r="P181" t="str">
        <f>CONCAT("2 portes"," (",AA181,""" x ",AB181,""")")</f>
        <v>2 portes (30" x 15")</v>
      </c>
      <c r="Q181" s="1">
        <v>357</v>
      </c>
      <c r="R181" s="1">
        <f>Q181/11.25</f>
        <v>31.733333333333334</v>
      </c>
      <c r="S181" s="1">
        <f>R181*1.4</f>
        <v>44.42666666666666</v>
      </c>
      <c r="T181" s="1">
        <f>S181*1.1</f>
        <v>48.86933333333333</v>
      </c>
      <c r="U181" s="1">
        <f>T181*1.2</f>
        <v>58.64319999999999</v>
      </c>
      <c r="V181" s="1">
        <f>U181*1.2</f>
        <v>70.37183999999999</v>
      </c>
      <c r="W181" s="1">
        <f>V181*1.1</f>
        <v>77.409024</v>
      </c>
      <c r="X181" s="1">
        <f>W181</f>
        <v>77.409024</v>
      </c>
      <c r="Y181" s="2">
        <v>0.4</v>
      </c>
      <c r="Z181" s="1">
        <f>X181*(1+Y181)</f>
        <v>108.3726336</v>
      </c>
      <c r="AA181">
        <v>30</v>
      </c>
      <c r="AB181">
        <v>15</v>
      </c>
      <c r="AC181">
        <v>12</v>
      </c>
      <c r="AD181">
        <v>2</v>
      </c>
      <c r="AE181">
        <v>0</v>
      </c>
      <c r="AF181" t="str">
        <v>Wall kitchen cabinet with 2 doors (30" x 15")</v>
      </c>
      <c r="AG181" t="str">
        <v>2 doors (30" x 15")</v>
      </c>
    </row>
    <row r="182" hidden="1">
      <c r="A182" t="str">
        <v>S8-W3018</v>
      </c>
      <c r="E182" t="b">
        <f>IF(OR(B182=TRUE,C182=TRUE,D182=TRUE),FALSE,TRUE)</f>
        <v>1</v>
      </c>
      <c r="G182" t="str">
        <v>DOWC3018</v>
      </c>
      <c r="H182" t="str">
        <f>IF(ISNUMBER(SEARCH("muf",A182)),"Chêne blanc","Blanc")</f>
        <v>Blanc</v>
      </c>
      <c r="I182" t="str">
        <f>CONCAT(G182,IF(H182="","",IF(H182="Blanc","-CW","-WWO")))</f>
        <v>DOWC3018-CW</v>
      </c>
      <c r="J182" t="str">
        <v>wall-cabinet</v>
      </c>
      <c r="K182" t="str">
        <v>standard</v>
      </c>
      <c r="L182" t="str">
        <f>IFERROR(VLOOKUP(J182,Categories!$A$2:$C$41,3,FALSE()),"⚠ slug introuvable")</f>
        <v>Armoire murale</v>
      </c>
      <c r="M182" t="str">
        <f>IFERROR(VLOOKUP(K182,Categories!$A$2:$C$41,3,FALSE()),"⚠ slug introuvable")</f>
        <v>Standard</v>
      </c>
      <c r="N182" t="str">
        <v>Armoire de cuisine du haut à 2 portes</v>
      </c>
      <c r="O182" t="str">
        <f>CONCAT(N182," (",AA182,""" x ",AB182,""")")</f>
        <v>Armoire de cuisine du haut à 2 portes (30" x 18")</v>
      </c>
      <c r="P182" t="str">
        <f>CONCAT("2 portes"," (",AA182,""" x ",AB182,""")")</f>
        <v>2 portes (30" x 18")</v>
      </c>
      <c r="Q182" s="1">
        <v>409</v>
      </c>
      <c r="R182" s="1">
        <f>Q182/11.25</f>
        <v>36.355555555555554</v>
      </c>
      <c r="S182" s="1">
        <f>R182*1.4</f>
        <v>50.897777777777776</v>
      </c>
      <c r="T182" s="1">
        <f>S182*1.1</f>
        <v>55.98755555555556</v>
      </c>
      <c r="U182" s="1">
        <f>T182*1.2</f>
        <v>67.18506666666667</v>
      </c>
      <c r="V182" s="1">
        <f>U182*1.2</f>
        <v>80.62208</v>
      </c>
      <c r="W182" s="1">
        <f>V182*1.1</f>
        <v>88.68428800000001</v>
      </c>
      <c r="X182" s="1">
        <f>W182</f>
        <v>88.68428800000001</v>
      </c>
      <c r="Y182" s="2">
        <v>0.4</v>
      </c>
      <c r="Z182" s="1">
        <f>X182*(1+Y182)</f>
        <v>124.15800320000001</v>
      </c>
      <c r="AA182">
        <v>30</v>
      </c>
      <c r="AB182">
        <v>18</v>
      </c>
      <c r="AC182">
        <v>12</v>
      </c>
      <c r="AD182">
        <v>2</v>
      </c>
      <c r="AE182">
        <v>0</v>
      </c>
      <c r="AF182" t="str">
        <v>Wall kitchen cabinet with 2 doors (30" x 18")</v>
      </c>
      <c r="AG182" t="str">
        <v>2 doors (30" x 18")</v>
      </c>
    </row>
    <row r="183" hidden="1">
      <c r="A183" t="str">
        <v>S8-W3021</v>
      </c>
      <c r="E183" t="b">
        <f>IF(OR(B183=TRUE,C183=TRUE,D183=TRUE),FALSE,TRUE)</f>
        <v>1</v>
      </c>
      <c r="G183" t="str">
        <v>DOWC3021</v>
      </c>
      <c r="H183" t="str">
        <f>IF(ISNUMBER(SEARCH("muf",A183)),"Chêne blanc","Blanc")</f>
        <v>Blanc</v>
      </c>
      <c r="I183" t="str">
        <f>CONCAT(G183,IF(H183="","",IF(H183="Blanc","-CW","-WWO")))</f>
        <v>DOWC3021-CW</v>
      </c>
      <c r="J183" t="str">
        <v>wall-cabinet</v>
      </c>
      <c r="K183" t="str">
        <v>standard</v>
      </c>
      <c r="L183" t="str">
        <f>IFERROR(VLOOKUP(J183,Categories!$A$2:$C$41,3,FALSE()),"⚠ slug introuvable")</f>
        <v>Armoire murale</v>
      </c>
      <c r="M183" t="str">
        <f>IFERROR(VLOOKUP(K183,Categories!$A$2:$C$41,3,FALSE()),"⚠ slug introuvable")</f>
        <v>Standard</v>
      </c>
      <c r="N183" t="str">
        <v>Armoire de cuisine du haut à 2 portes</v>
      </c>
      <c r="O183" t="str">
        <f>CONCAT(N183," (",AA183,""" x ",AB183,""")")</f>
        <v>Armoire de cuisine du haut à 2 portes (30" x 21")</v>
      </c>
      <c r="P183" t="str">
        <f>CONCAT("2 portes"," (",AA183,""" x ",AB183,""")")</f>
        <v>2 portes (30" x 21")</v>
      </c>
      <c r="Q183" s="1">
        <v>515</v>
      </c>
      <c r="R183" s="1">
        <f>Q183/11.25</f>
        <v>45.77777777777778</v>
      </c>
      <c r="S183" s="1">
        <f>R183*1.4</f>
        <v>64.08888888888889</v>
      </c>
      <c r="T183" s="1">
        <f>S183*1.1</f>
        <v>70.49777777777778</v>
      </c>
      <c r="U183" s="1">
        <f>T183*1.2</f>
        <v>84.59733333333334</v>
      </c>
      <c r="V183" s="1">
        <f>U183*1.2</f>
        <v>101.5168</v>
      </c>
      <c r="W183" s="1">
        <f>V183*1.1</f>
        <v>111.66848000000002</v>
      </c>
      <c r="X183" s="1">
        <f>W183</f>
        <v>111.66848000000002</v>
      </c>
      <c r="Y183" s="2">
        <v>0.4</v>
      </c>
      <c r="Z183" s="1">
        <f>X183*(1+Y183)</f>
        <v>156.33587200000002</v>
      </c>
      <c r="AA183">
        <v>30</v>
      </c>
      <c r="AB183">
        <v>21</v>
      </c>
      <c r="AC183">
        <v>12</v>
      </c>
      <c r="AD183">
        <v>2</v>
      </c>
      <c r="AE183">
        <v>0</v>
      </c>
      <c r="AF183" t="str">
        <v>Wall kitchen cabinet with 2 doors (30" x 21")</v>
      </c>
      <c r="AG183" t="str">
        <v>2 doors (30" x 21")</v>
      </c>
    </row>
    <row r="184" hidden="1">
      <c r="A184" t="str">
        <v>S8-W3024</v>
      </c>
      <c r="E184" t="b">
        <f>IF(OR(B184=TRUE,C184=TRUE,D184=TRUE),FALSE,TRUE)</f>
        <v>1</v>
      </c>
      <c r="G184" t="str">
        <v>DOWC3024</v>
      </c>
      <c r="H184" t="str">
        <f>IF(ISNUMBER(SEARCH("muf",A184)),"Chêne blanc","Blanc")</f>
        <v>Blanc</v>
      </c>
      <c r="I184" t="str">
        <f>CONCAT(G184,IF(H184="","",IF(H184="Blanc","-CW","-WWO")))</f>
        <v>DOWC3024-CW</v>
      </c>
      <c r="J184" t="str">
        <v>wall-cabinet</v>
      </c>
      <c r="K184" t="str">
        <v>standard</v>
      </c>
      <c r="L184" t="str">
        <f>IFERROR(VLOOKUP(J184,Categories!$A$2:$C$41,3,FALSE()),"⚠ slug introuvable")</f>
        <v>Armoire murale</v>
      </c>
      <c r="M184" t="str">
        <f>IFERROR(VLOOKUP(K184,Categories!$A$2:$C$41,3,FALSE()),"⚠ slug introuvable")</f>
        <v>Standard</v>
      </c>
      <c r="N184" t="str">
        <v>Armoire de cuisine du haut à 2 portes</v>
      </c>
      <c r="O184" t="str">
        <f>CONCAT(N184," (",AA184,""" x ",AB184,""")")</f>
        <v>Armoire de cuisine du haut à 2 portes (30" x 24")</v>
      </c>
      <c r="P184" t="str">
        <f>CONCAT("2 portes"," (",AA184,""" x ",AB184,""")")</f>
        <v>2 portes (30" x 24")</v>
      </c>
      <c r="Q184" s="1">
        <v>557</v>
      </c>
      <c r="R184" s="1">
        <f>Q184/11.25</f>
        <v>49.51111111111111</v>
      </c>
      <c r="S184" s="1">
        <f>R184*1.4</f>
        <v>69.31555555555555</v>
      </c>
      <c r="T184" s="1">
        <f>S184*1.1</f>
        <v>76.24711111111111</v>
      </c>
      <c r="U184" s="1">
        <f>T184*1.2</f>
        <v>91.49653333333333</v>
      </c>
      <c r="V184" s="1">
        <f>U184*1.2</f>
        <v>109.79584</v>
      </c>
      <c r="W184" s="1">
        <f>V184*1.1</f>
        <v>120.775424</v>
      </c>
      <c r="X184" s="1">
        <f>W184</f>
        <v>120.775424</v>
      </c>
      <c r="Y184" s="2">
        <v>0.4</v>
      </c>
      <c r="Z184" s="1">
        <f>X184*(1+Y184)</f>
        <v>169.08559359999998</v>
      </c>
      <c r="AA184">
        <v>30</v>
      </c>
      <c r="AB184">
        <v>24</v>
      </c>
      <c r="AC184">
        <v>12</v>
      </c>
      <c r="AD184">
        <v>2</v>
      </c>
      <c r="AE184">
        <v>0</v>
      </c>
      <c r="AF184" t="str">
        <v>Wall kitchen cabinet with 2 doors (30" x 24")</v>
      </c>
      <c r="AG184" t="str">
        <v>2 doors (30" x 24")</v>
      </c>
    </row>
    <row r="185" hidden="1">
      <c r="A185" t="str">
        <v>S8-W3027</v>
      </c>
      <c r="E185" t="b">
        <f>IF(OR(B185=TRUE,C185=TRUE,D185=TRUE),FALSE,TRUE)</f>
        <v>1</v>
      </c>
      <c r="G185" t="str">
        <v>DOWC3027</v>
      </c>
      <c r="H185" t="str">
        <f>IF(ISNUMBER(SEARCH("muf",A185)),"Chêne blanc","Blanc")</f>
        <v>Blanc</v>
      </c>
      <c r="I185" t="str">
        <f>CONCAT(G185,IF(H185="","",IF(H185="Blanc","-CW","-WWO")))</f>
        <v>DOWC3027-CW</v>
      </c>
      <c r="J185" t="str">
        <v>wall-cabinet</v>
      </c>
      <c r="K185" t="str">
        <v>standard</v>
      </c>
      <c r="L185" t="str">
        <f>IFERROR(VLOOKUP(J185,Categories!$A$2:$C$41,3,FALSE()),"⚠ slug introuvable")</f>
        <v>Armoire murale</v>
      </c>
      <c r="M185" t="str">
        <f>IFERROR(VLOOKUP(K185,Categories!$A$2:$C$41,3,FALSE()),"⚠ slug introuvable")</f>
        <v>Standard</v>
      </c>
      <c r="N185" t="str">
        <v>Armoire de cuisine du haut à 2 portes</v>
      </c>
      <c r="O185" t="str">
        <f>CONCAT(N185," (",AA185,""" x ",AB185,""")")</f>
        <v>Armoire de cuisine du haut à 2 portes (30" x 27")</v>
      </c>
      <c r="P185" t="str">
        <f>CONCAT("2 portes"," (",AA185,""" x ",AB185,""")")</f>
        <v>2 portes (30" x 27")</v>
      </c>
      <c r="Q185" s="1">
        <v>603</v>
      </c>
      <c r="R185" s="1">
        <f>Q185/11.25</f>
        <v>53.6</v>
      </c>
      <c r="S185" s="1">
        <f>R185*1.4</f>
        <v>75.03999999999999</v>
      </c>
      <c r="T185" s="1">
        <f>S185*1.1</f>
        <v>82.544</v>
      </c>
      <c r="U185" s="1">
        <f>T185*1.2</f>
        <v>99.05279999999999</v>
      </c>
      <c r="V185" s="1">
        <f>U185*1.2</f>
        <v>118.86335999999999</v>
      </c>
      <c r="W185" s="1">
        <f>V185*1.1</f>
        <v>130.749696</v>
      </c>
      <c r="X185" s="1">
        <f>W185</f>
        <v>130.749696</v>
      </c>
      <c r="Y185" s="2">
        <v>0.4</v>
      </c>
      <c r="Z185" s="1">
        <f>X185*(1+Y185)</f>
        <v>183.04957439999998</v>
      </c>
      <c r="AA185">
        <v>30</v>
      </c>
      <c r="AB185">
        <v>27</v>
      </c>
      <c r="AC185">
        <v>12</v>
      </c>
      <c r="AD185">
        <v>2</v>
      </c>
      <c r="AE185">
        <v>0</v>
      </c>
      <c r="AF185" t="str">
        <v>Wall kitchen cabinet with 2 doors (30" x 27")</v>
      </c>
      <c r="AG185" t="str">
        <v>2 doors (30" x 27")</v>
      </c>
    </row>
    <row r="186" hidden="1">
      <c r="A186" t="str">
        <v>S8-W3030</v>
      </c>
      <c r="E186" t="b">
        <f>IF(OR(B186=TRUE,C186=TRUE,D186=TRUE),FALSE,TRUE)</f>
        <v>1</v>
      </c>
      <c r="G186" t="str">
        <v>DOWC3030</v>
      </c>
      <c r="H186" t="str">
        <f>IF(ISNUMBER(SEARCH("muf",A186)),"Chêne blanc","Blanc")</f>
        <v>Blanc</v>
      </c>
      <c r="I186" t="str">
        <f>CONCAT(G186,IF(H186="","",IF(H186="Blanc","-CW","-WWO")))</f>
        <v>DOWC3030-CW</v>
      </c>
      <c r="J186" t="str">
        <v>wall-cabinet</v>
      </c>
      <c r="K186" t="str">
        <v>standard</v>
      </c>
      <c r="L186" t="str">
        <f>IFERROR(VLOOKUP(J186,Categories!$A$2:$C$41,3,FALSE()),"⚠ slug introuvable")</f>
        <v>Armoire murale</v>
      </c>
      <c r="M186" t="str">
        <f>IFERROR(VLOOKUP(K186,Categories!$A$2:$C$41,3,FALSE()),"⚠ slug introuvable")</f>
        <v>Standard</v>
      </c>
      <c r="N186" t="str">
        <v>Armoire de cuisine du haut à 2 portes</v>
      </c>
      <c r="O186" t="str">
        <f>CONCAT(N186," (",AA186,""" x ",AB186,""")")</f>
        <v>Armoire de cuisine du haut à 2 portes (30" x 30")</v>
      </c>
      <c r="P186" t="str">
        <f>CONCAT("2 portes"," (",AA186,""" x ",AB186,""")")</f>
        <v>2 portes (30" x 30")</v>
      </c>
      <c r="Q186" s="1">
        <v>648</v>
      </c>
      <c r="R186" s="1">
        <f>Q186/11.25</f>
        <v>57.6</v>
      </c>
      <c r="S186" s="1">
        <f>R186*1.4</f>
        <v>80.64</v>
      </c>
      <c r="T186" s="1">
        <f>S186*1.1</f>
        <v>88.70400000000001</v>
      </c>
      <c r="U186" s="1">
        <f>T186*1.2</f>
        <v>106.4448</v>
      </c>
      <c r="V186" s="1">
        <f>U186*1.2</f>
        <v>127.73375999999999</v>
      </c>
      <c r="W186" s="1">
        <f>V186*1.1</f>
        <v>140.507136</v>
      </c>
      <c r="X186" s="1">
        <f>W186</f>
        <v>140.507136</v>
      </c>
      <c r="Y186" s="2">
        <v>0.4</v>
      </c>
      <c r="Z186" s="1">
        <f>X186*(1+Y186)</f>
        <v>196.70999039999998</v>
      </c>
      <c r="AA186">
        <v>30</v>
      </c>
      <c r="AB186">
        <v>30</v>
      </c>
      <c r="AC186">
        <v>12</v>
      </c>
      <c r="AD186">
        <v>2</v>
      </c>
      <c r="AE186">
        <v>0</v>
      </c>
      <c r="AF186" t="str">
        <v>Wall kitchen cabinet with 2 doors (30" x 30")</v>
      </c>
      <c r="AG186" t="str">
        <v>2 doors (30" x 30")</v>
      </c>
    </row>
    <row r="187" hidden="1">
      <c r="A187" t="str">
        <v>S8-W3036</v>
      </c>
      <c r="E187" t="b">
        <f>IF(OR(B187=TRUE,C187=TRUE,D187=TRUE),FALSE,TRUE)</f>
        <v>1</v>
      </c>
      <c r="G187" t="str">
        <v>DOWC3036</v>
      </c>
      <c r="H187" t="str">
        <f>IF(ISNUMBER(SEARCH("muf",A187)),"Chêne blanc","Blanc")</f>
        <v>Blanc</v>
      </c>
      <c r="I187" t="str">
        <f>CONCAT(G187,IF(H187="","",IF(H187="Blanc","-CW","-WWO")))</f>
        <v>DOWC3036-CW</v>
      </c>
      <c r="J187" t="str">
        <v>wall-cabinet</v>
      </c>
      <c r="K187" t="str">
        <v>standard</v>
      </c>
      <c r="L187" t="str">
        <f>IFERROR(VLOOKUP(J187,Categories!$A$2:$C$41,3,FALSE()),"⚠ slug introuvable")</f>
        <v>Armoire murale</v>
      </c>
      <c r="M187" t="str">
        <f>IFERROR(VLOOKUP(K187,Categories!$A$2:$C$41,3,FALSE()),"⚠ slug introuvable")</f>
        <v>Standard</v>
      </c>
      <c r="N187" t="str">
        <v>Armoire de cuisine du haut à 2 portes</v>
      </c>
      <c r="O187" t="str">
        <f>CONCAT(N187," (",AA187,""" x ",AB187,""")")</f>
        <v>Armoire de cuisine du haut à 2 portes (30" x 36")</v>
      </c>
      <c r="P187" t="str">
        <f>CONCAT("2 portes"," (",AA187,""" x ",AB187,""")")</f>
        <v>2 portes (30" x 36")</v>
      </c>
      <c r="Q187" s="1">
        <v>758</v>
      </c>
      <c r="R187" s="1">
        <f>Q187/11.25</f>
        <v>67.37777777777778</v>
      </c>
      <c r="S187" s="1">
        <f>R187*1.4</f>
        <v>94.32888888888888</v>
      </c>
      <c r="T187" s="1">
        <f>S187*1.1</f>
        <v>103.76177777777778</v>
      </c>
      <c r="U187" s="1">
        <f>T187*1.2</f>
        <v>124.51413333333333</v>
      </c>
      <c r="V187" s="1">
        <f>U187*1.2</f>
        <v>149.41696</v>
      </c>
      <c r="W187" s="1">
        <f>V187*1.1</f>
        <v>164.358656</v>
      </c>
      <c r="X187" s="1">
        <f>W187</f>
        <v>164.358656</v>
      </c>
      <c r="Y187" s="2">
        <v>0.4</v>
      </c>
      <c r="Z187" s="1">
        <f>X187*(1+Y187)</f>
        <v>230.10211839999997</v>
      </c>
      <c r="AA187">
        <v>30</v>
      </c>
      <c r="AB187">
        <v>36</v>
      </c>
      <c r="AC187">
        <v>12</v>
      </c>
      <c r="AD187">
        <v>2</v>
      </c>
      <c r="AE187">
        <v>0</v>
      </c>
      <c r="AF187" t="str">
        <v>Wall kitchen cabinet with 2 doors (30" x 36")</v>
      </c>
      <c r="AG187" t="str">
        <v>2 doors (30" x 36")</v>
      </c>
    </row>
    <row r="188" hidden="1">
      <c r="A188" t="str">
        <v>S8-W3036-Door</v>
      </c>
      <c r="B188" t="b">
        <v>1</v>
      </c>
      <c r="E188" t="b">
        <f>IF(OR(B188=TRUE,C188=TRUE,D188=TRUE),FALSE,TRUE)</f>
        <v>0</v>
      </c>
      <c r="H188" t="str">
        <f>IF(ISNUMBER(SEARCH("muf",A188)),"Chêne blanc","Blanc")</f>
        <v>Blanc</v>
      </c>
      <c r="I188" t="str">
        <f>CONCAT(G188,IF(H188="","",IF(H188="Blanc","-CW","-WWO")))</f>
        <v>-CW</v>
      </c>
      <c r="K188" t="str">
        <v>wall-cabinet-standard</v>
      </c>
      <c r="M188" t="str">
        <f>IFERROR(VLOOKUP(K188,Categories!$A$2:$C$41,3,FALSE()),"⚠ slug introuvable")</f>
        <v>⚠ slug introuvable</v>
      </c>
      <c r="N188" t="str">
        <v>W3036-Door</v>
      </c>
      <c r="Q188" s="1">
        <v>0</v>
      </c>
      <c r="R188" s="1">
        <f>Q188/11.25</f>
        <v>0</v>
      </c>
      <c r="S188" s="1">
        <f>R188*1.4</f>
        <v>0</v>
      </c>
      <c r="T188" s="1">
        <f>S188*1.1</f>
        <v>0</v>
      </c>
      <c r="U188" s="1">
        <f>T188*1.2</f>
        <v>0</v>
      </c>
      <c r="V188" s="1">
        <f>U188*1.2</f>
        <v>0</v>
      </c>
      <c r="W188" s="1">
        <f>V188*1.1</f>
        <v>0</v>
      </c>
      <c r="X188" s="1">
        <f>W188</f>
        <v>0</v>
      </c>
      <c r="Y188" s="2">
        <v>0.4</v>
      </c>
      <c r="Z188" s="1">
        <f>X188*(1+Y188)</f>
        <v>0</v>
      </c>
      <c r="AA188">
        <v>30</v>
      </c>
      <c r="AB188">
        <v>36</v>
      </c>
      <c r="AC188">
        <v>12</v>
      </c>
      <c r="AD188">
        <v>2</v>
      </c>
      <c r="AE188">
        <v>0</v>
      </c>
    </row>
    <row r="189" hidden="1">
      <c r="A189" t="str">
        <v>S8-W3042</v>
      </c>
      <c r="E189" t="b">
        <f>IF(OR(B189=TRUE,C189=TRUE,D189=TRUE),FALSE,TRUE)</f>
        <v>1</v>
      </c>
      <c r="G189" t="str">
        <v>DOWC3042</v>
      </c>
      <c r="H189" t="str">
        <f>IF(ISNUMBER(SEARCH("muf",A189)),"Chêne blanc","Blanc")</f>
        <v>Blanc</v>
      </c>
      <c r="I189" t="str">
        <f>CONCAT(G189,IF(H189="","",IF(H189="Blanc","-CW","-WWO")))</f>
        <v>DOWC3042-CW</v>
      </c>
      <c r="J189" t="str">
        <v>wall-cabinet</v>
      </c>
      <c r="K189" t="str">
        <v>standard</v>
      </c>
      <c r="L189" t="str">
        <f>IFERROR(VLOOKUP(J189,Categories!$A$2:$C$41,3,FALSE()),"⚠ slug introuvable")</f>
        <v>Armoire murale</v>
      </c>
      <c r="M189" t="str">
        <f>IFERROR(VLOOKUP(K189,Categories!$A$2:$C$41,3,FALSE()),"⚠ slug introuvable")</f>
        <v>Standard</v>
      </c>
      <c r="N189" t="str">
        <v>Armoire de cuisine du haut à 2 portes</v>
      </c>
      <c r="O189" t="str">
        <f>CONCAT(N189," (",AA189,""" x ",AB189,""")")</f>
        <v>Armoire de cuisine du haut à 2 portes (30" x 42")</v>
      </c>
      <c r="P189" t="str">
        <f>CONCAT("2 portes"," (",AA189,""" x ",AB189,""")")</f>
        <v>2 portes (30" x 42")</v>
      </c>
      <c r="Q189" s="1">
        <v>872</v>
      </c>
      <c r="R189" s="1">
        <f>Q189/11.25</f>
        <v>77.5111111111111</v>
      </c>
      <c r="S189" s="1">
        <f>R189*1.4</f>
        <v>108.51555555555554</v>
      </c>
      <c r="T189" s="1">
        <f>S189*1.1</f>
        <v>119.3671111111111</v>
      </c>
      <c r="U189" s="1">
        <f>T189*1.2</f>
        <v>143.2405333333333</v>
      </c>
      <c r="V189" s="1">
        <f>U189*1.2</f>
        <v>171.88863999999995</v>
      </c>
      <c r="W189" s="1">
        <f>V189*1.1</f>
        <v>189.07750399999998</v>
      </c>
      <c r="X189" s="1">
        <f>W189</f>
        <v>189.07750399999998</v>
      </c>
      <c r="Y189" s="2">
        <v>0.4</v>
      </c>
      <c r="Z189" s="1">
        <f>X189*(1+Y189)</f>
        <v>264.70850559999997</v>
      </c>
      <c r="AA189">
        <v>30</v>
      </c>
      <c r="AB189">
        <v>42</v>
      </c>
      <c r="AC189">
        <v>12</v>
      </c>
      <c r="AD189">
        <v>2</v>
      </c>
      <c r="AE189">
        <v>0</v>
      </c>
      <c r="AF189" t="str">
        <v>Wall kitchen cabinet with 2 doors (30" x 42")</v>
      </c>
      <c r="AG189" t="str">
        <v>2 doors (30" x 42")</v>
      </c>
    </row>
    <row r="190" hidden="1">
      <c r="A190" t="str">
        <v>S8-W3048</v>
      </c>
      <c r="E190" t="b">
        <f>IF(OR(B190=TRUE,C190=TRUE,D190=TRUE),FALSE,TRUE)</f>
        <v>1</v>
      </c>
      <c r="G190" t="str">
        <v>DOWC3048</v>
      </c>
      <c r="H190" t="str">
        <f>IF(ISNUMBER(SEARCH("muf",A190)),"Chêne blanc","Blanc")</f>
        <v>Blanc</v>
      </c>
      <c r="I190" t="str">
        <f>CONCAT(G190,IF(H190="","",IF(H190="Blanc","-CW","-WWO")))</f>
        <v>DOWC3048-CW</v>
      </c>
      <c r="J190" t="str">
        <v>wall-cabinet</v>
      </c>
      <c r="K190" t="str">
        <v>standard</v>
      </c>
      <c r="L190" t="str">
        <f>IFERROR(VLOOKUP(J190,Categories!$A$2:$C$41,3,FALSE()),"⚠ slug introuvable")</f>
        <v>Armoire murale</v>
      </c>
      <c r="M190" t="str">
        <f>IFERROR(VLOOKUP(K190,Categories!$A$2:$C$41,3,FALSE()),"⚠ slug introuvable")</f>
        <v>Standard</v>
      </c>
      <c r="N190" t="str">
        <v>Armoire de cuisine du haut à 2 portes</v>
      </c>
      <c r="O190" t="str">
        <f>CONCAT(N190," (",AA190,""" x ",AB190,""")")</f>
        <v>Armoire de cuisine du haut à 2 portes (30" x 48")</v>
      </c>
      <c r="P190" t="str">
        <f>CONCAT("2 portes"," (",AA190,""" x ",AB190,""")")</f>
        <v>2 portes (30" x 48")</v>
      </c>
      <c r="Q190" s="1">
        <v>1378</v>
      </c>
      <c r="R190" s="1">
        <f>Q190/11.25</f>
        <v>122.4888888888889</v>
      </c>
      <c r="S190" s="1">
        <f>R190*1.4</f>
        <v>171.48444444444445</v>
      </c>
      <c r="T190" s="1">
        <f>S190*1.1</f>
        <v>188.6328888888889</v>
      </c>
      <c r="U190" s="1">
        <f>T190*1.2</f>
        <v>226.3594666666667</v>
      </c>
      <c r="V190" s="1">
        <f>U190*1.2</f>
        <v>271.63136000000003</v>
      </c>
      <c r="W190" s="1">
        <f>V190*1.1</f>
        <v>298.79449600000004</v>
      </c>
      <c r="X190" s="1">
        <f>W190</f>
        <v>298.79449600000004</v>
      </c>
      <c r="Y190" s="2">
        <v>0.4</v>
      </c>
      <c r="Z190" s="1">
        <f>X190*(1+Y190)</f>
        <v>418.31229440000004</v>
      </c>
      <c r="AA190">
        <v>30</v>
      </c>
      <c r="AB190">
        <v>48</v>
      </c>
      <c r="AC190">
        <v>12</v>
      </c>
      <c r="AD190">
        <v>2</v>
      </c>
      <c r="AE190">
        <v>0</v>
      </c>
      <c r="AF190" t="str">
        <v>Wall kitchen cabinet with 2 doors (30" x 48")</v>
      </c>
      <c r="AG190" t="str">
        <v>2 doors (30" x 48")</v>
      </c>
    </row>
    <row r="191" hidden="1">
      <c r="A191" t="str">
        <v>S8-W3067.518</v>
      </c>
      <c r="B191" t="b">
        <v>1</v>
      </c>
      <c r="E191" t="b">
        <f>IF(OR(B191=TRUE,C191=TRUE,D191=TRUE),FALSE,TRUE)</f>
        <v>0</v>
      </c>
      <c r="H191" t="str">
        <f>IF(ISNUMBER(SEARCH("muf",A191)),"Chêne blanc","Blanc")</f>
        <v>Blanc</v>
      </c>
      <c r="I191" t="str">
        <f>CONCAT(G191,IF(H191="","",IF(H191="Blanc","-CW","-WWO")))</f>
        <v>-CW</v>
      </c>
      <c r="K191" t="str">
        <v>wall-cabinet-standard</v>
      </c>
      <c r="M191" t="str">
        <f>IFERROR(VLOOKUP(K191,Categories!$A$2:$C$41,3,FALSE()),"⚠ slug introuvable")</f>
        <v>⚠ slug introuvable</v>
      </c>
      <c r="N191" t="str">
        <v>W3067.518</v>
      </c>
      <c r="Q191" s="1">
        <v>0</v>
      </c>
      <c r="R191" s="1">
        <f>Q191/11.25</f>
        <v>0</v>
      </c>
      <c r="S191" s="1">
        <f>R191*1.4</f>
        <v>0</v>
      </c>
      <c r="T191" s="1">
        <f>S191*1.1</f>
        <v>0</v>
      </c>
      <c r="U191" s="1">
        <f>T191*1.2</f>
        <v>0</v>
      </c>
      <c r="V191" s="1">
        <f>U191*1.2</f>
        <v>0</v>
      </c>
      <c r="W191" s="1">
        <f>V191*1.1</f>
        <v>0</v>
      </c>
      <c r="X191" s="1">
        <f>W191</f>
        <v>0</v>
      </c>
      <c r="Y191" s="2">
        <v>0.4</v>
      </c>
      <c r="Z191" s="1">
        <f>X191*(1+Y191)</f>
        <v>0</v>
      </c>
      <c r="AA191">
        <v>30</v>
      </c>
      <c r="AB191">
        <v>67.5</v>
      </c>
      <c r="AC191">
        <v>18</v>
      </c>
      <c r="AD191">
        <v>1</v>
      </c>
      <c r="AE191">
        <v>0</v>
      </c>
    </row>
    <row r="192" hidden="1">
      <c r="A192" t="str">
        <v>S8-W30X19.5</v>
      </c>
      <c r="E192" t="b">
        <f>IF(OR(B192=TRUE,C192=TRUE,D192=TRUE),FALSE,TRUE)</f>
        <v>1</v>
      </c>
      <c r="G192" t="str">
        <v>DOWC30-19.5</v>
      </c>
      <c r="H192" t="str">
        <f>IF(ISNUMBER(SEARCH("muf",A192)),"Chêne blanc","Blanc")</f>
        <v>Blanc</v>
      </c>
      <c r="I192" t="str">
        <f>CONCAT(G192,IF(H192="","",IF(H192="Blanc","-CW","-WWO")))</f>
        <v>DOWC30-19.5-CW</v>
      </c>
      <c r="J192" t="str">
        <v>wall-cabinet</v>
      </c>
      <c r="K192" t="str">
        <v>standard</v>
      </c>
      <c r="L192" t="str">
        <f>IFERROR(VLOOKUP(J192,Categories!$A$2:$C$41,3,FALSE()),"⚠ slug introuvable")</f>
        <v>Armoire murale</v>
      </c>
      <c r="M192" t="str">
        <f>IFERROR(VLOOKUP(K192,Categories!$A$2:$C$41,3,FALSE()),"⚠ slug introuvable")</f>
        <v>Standard</v>
      </c>
      <c r="N192" t="str">
        <v>Armoire de cuisine du haut à 2 portes</v>
      </c>
      <c r="O192" t="str">
        <f>CONCAT(N192," (",AA192,""" x ",AB192,""")")</f>
        <v>Armoire de cuisine du haut à 2 portes (30" x 19.5")</v>
      </c>
      <c r="P192" t="str">
        <f>CONCAT("2 portes"," (",AA192,""" x ",AB192,""")")</f>
        <v>2 portes (30" x 19.5")</v>
      </c>
      <c r="Q192" s="1">
        <v>447</v>
      </c>
      <c r="R192" s="1">
        <f>Q192/11.25</f>
        <v>39.733333333333334</v>
      </c>
      <c r="S192" s="1">
        <f>R192*1.4</f>
        <v>55.626666666666665</v>
      </c>
      <c r="T192" s="1">
        <f>S192*1.1</f>
        <v>61.18933333333334</v>
      </c>
      <c r="U192" s="1">
        <f>T192*1.2</f>
        <v>73.4272</v>
      </c>
      <c r="V192" s="1">
        <f>U192*1.2</f>
        <v>88.11264</v>
      </c>
      <c r="W192" s="1">
        <f>V192*1.1</f>
        <v>96.92390400000001</v>
      </c>
      <c r="X192" s="1">
        <f>W192</f>
        <v>96.92390400000001</v>
      </c>
      <c r="Y192" s="2">
        <v>0.4</v>
      </c>
      <c r="Z192" s="1">
        <f>X192*(1+Y192)</f>
        <v>135.6934656</v>
      </c>
      <c r="AA192">
        <v>30</v>
      </c>
      <c r="AB192">
        <v>19.5</v>
      </c>
      <c r="AC192">
        <v>12</v>
      </c>
      <c r="AD192">
        <v>2</v>
      </c>
      <c r="AE192">
        <v>0</v>
      </c>
      <c r="AF192" t="str">
        <v>Wall kitchen cabinet with 2 doors (30" x 19.5")</v>
      </c>
      <c r="AG192" t="str">
        <v>2 doors (30" x 19.5")</v>
      </c>
    </row>
    <row r="193" hidden="1">
      <c r="A193" t="str">
        <v>S8-W33.51227</v>
      </c>
      <c r="E193" t="b">
        <f>IF(OR(B193=TRUE,C193=TRUE,D193=TRUE),FALSE,TRUE)</f>
        <v>1</v>
      </c>
      <c r="G193" t="str">
        <v>DOWRC33.5-12</v>
      </c>
      <c r="H193" t="str">
        <f>IF(ISNUMBER(SEARCH("muf",A193)),"Chêne blanc","Blanc")</f>
        <v>Blanc</v>
      </c>
      <c r="I193" t="str">
        <f>CONCAT(G193,IF(H193="","",IF(H193="Blanc","-CW","-WWO")))</f>
        <v>DOWRC33.5-12-CW</v>
      </c>
      <c r="J193" t="str">
        <v>wall-cabinet</v>
      </c>
      <c r="K193" t="str">
        <v>upper-refrigerator</v>
      </c>
      <c r="L193" t="str">
        <f>IFERROR(VLOOKUP(J193,Categories!$A$2:$C$41,3,FALSE()),"⚠ slug introuvable")</f>
        <v>Armoire murale</v>
      </c>
      <c r="M193" t="str">
        <f>IFERROR(VLOOKUP(K193,Categories!$A$2:$C$41,3,FALSE()),"⚠ slug introuvable")</f>
        <v>Dessus du réfrigérateur</v>
      </c>
      <c r="N193" t="str">
        <v>Armoire de cuisine du haut à 2 portes pour dessus de réfrigérateur</v>
      </c>
      <c r="O193" t="str">
        <f>CONCAT(N193," (",AA193,""" x ",AB193,""")")</f>
        <v>Armoire de cuisine du haut à 2 portes pour dessus de réfrigérateur (33.5" x 12")</v>
      </c>
      <c r="P193" t="str">
        <f>CONCAT("Dessus de réfrigérateur"," (",AA193,""" x ",AB193,""")")</f>
        <v>Dessus de réfrigérateur (33.5" x 12")</v>
      </c>
      <c r="Q193" s="1">
        <v>460</v>
      </c>
      <c r="R193" s="1">
        <f>Q193/11.25</f>
        <v>40.888888888888886</v>
      </c>
      <c r="S193" s="1">
        <f>R193*1.4</f>
        <v>57.24444444444443</v>
      </c>
      <c r="T193" s="1">
        <f>S193*1.1</f>
        <v>62.968888888888884</v>
      </c>
      <c r="U193" s="1">
        <f>T193*1.2</f>
        <v>75.56266666666666</v>
      </c>
      <c r="V193" s="1">
        <f>U193*1.2</f>
        <v>90.67519999999999</v>
      </c>
      <c r="W193" s="1">
        <f>V193*1.1</f>
        <v>99.74271999999999</v>
      </c>
      <c r="X193" s="1">
        <f>W193</f>
        <v>99.74271999999999</v>
      </c>
      <c r="Y193" s="2">
        <v>0.4</v>
      </c>
      <c r="Z193" s="1">
        <f>X193*(1+Y193)</f>
        <v>139.639808</v>
      </c>
      <c r="AA193">
        <v>33.5</v>
      </c>
      <c r="AB193">
        <v>12</v>
      </c>
      <c r="AC193">
        <v>27</v>
      </c>
      <c r="AD193">
        <v>2</v>
      </c>
      <c r="AE193">
        <v>0</v>
      </c>
      <c r="AF193" t="str">
        <v>Wall kitchen cabinet with 2 doors for above-fridge (33.5" x 12")</v>
      </c>
      <c r="AG193" t="str">
        <v>Above-fridge (33.5" x 12")</v>
      </c>
    </row>
    <row r="194" hidden="1">
      <c r="A194" t="str">
        <v>S8-W33.51827</v>
      </c>
      <c r="E194" t="b">
        <f>IF(OR(B194=TRUE,C194=TRUE,D194=TRUE),FALSE,TRUE)</f>
        <v>1</v>
      </c>
      <c r="G194" t="str">
        <v>DOWRC33.5-18</v>
      </c>
      <c r="H194" t="str">
        <f>IF(ISNUMBER(SEARCH("muf",A194)),"Chêne blanc","Blanc")</f>
        <v>Blanc</v>
      </c>
      <c r="I194" t="str">
        <f>CONCAT(G194,IF(H194="","",IF(H194="Blanc","-CW","-WWO")))</f>
        <v>DOWRC33.5-18-CW</v>
      </c>
      <c r="J194" t="str">
        <v>wall-cabinet</v>
      </c>
      <c r="K194" t="str">
        <v>upper-refrigerator</v>
      </c>
      <c r="L194" t="str">
        <f>IFERROR(VLOOKUP(J194,Categories!$A$2:$C$41,3,FALSE()),"⚠ slug introuvable")</f>
        <v>Armoire murale</v>
      </c>
      <c r="M194" t="str">
        <f>IFERROR(VLOOKUP(K194,Categories!$A$2:$C$41,3,FALSE()),"⚠ slug introuvable")</f>
        <v>Dessus du réfrigérateur</v>
      </c>
      <c r="N194" t="str">
        <v>Armoire de cuisine du haut à 2 portes pour dessus de réfrigérateur</v>
      </c>
      <c r="O194" t="str">
        <f>CONCAT(N194," (",AA194,""" x ",AB194,""")")</f>
        <v>Armoire de cuisine du haut à 2 portes pour dessus de réfrigérateur (33.5" x 18")</v>
      </c>
      <c r="P194" t="str">
        <f>CONCAT("Dessus de réfrigérateur"," (",AA194,""" x ",AB194,""")")</f>
        <v>Dessus de réfrigérateur (33.5" x 18")</v>
      </c>
      <c r="Q194" s="1">
        <v>623</v>
      </c>
      <c r="R194" s="1">
        <f>Q194/11.25</f>
        <v>55.37777777777778</v>
      </c>
      <c r="S194" s="1">
        <f>R194*1.4</f>
        <v>77.52888888888889</v>
      </c>
      <c r="T194" s="1">
        <f>S194*1.1</f>
        <v>85.28177777777778</v>
      </c>
      <c r="U194" s="1">
        <f>T194*1.2</f>
        <v>102.33813333333333</v>
      </c>
      <c r="V194" s="1">
        <f>U194*1.2</f>
        <v>122.80575999999999</v>
      </c>
      <c r="W194" s="1">
        <f>V194*1.1</f>
        <v>135.086336</v>
      </c>
      <c r="X194" s="1">
        <f>W194</f>
        <v>135.086336</v>
      </c>
      <c r="Y194" s="2">
        <v>0.4</v>
      </c>
      <c r="Z194" s="1">
        <f>X194*(1+Y194)</f>
        <v>189.12087039999997</v>
      </c>
      <c r="AA194">
        <v>33.5</v>
      </c>
      <c r="AB194">
        <v>18</v>
      </c>
      <c r="AC194">
        <v>27</v>
      </c>
      <c r="AD194">
        <v>2</v>
      </c>
      <c r="AE194">
        <v>0</v>
      </c>
      <c r="AF194" t="str">
        <v>Wall kitchen cabinet with 2 doors for above-fridge (33.5" x 18")</v>
      </c>
      <c r="AG194" t="str">
        <v>Above-fridge (33.5" x 18")</v>
      </c>
    </row>
    <row r="195" hidden="1">
      <c r="A195" t="str">
        <v>S8-W33.52027</v>
      </c>
      <c r="E195" t="b">
        <f>IF(OR(B195=TRUE,C195=TRUE,D195=TRUE),FALSE,TRUE)</f>
        <v>1</v>
      </c>
      <c r="G195" t="str">
        <v>DOWRC33.5-20</v>
      </c>
      <c r="H195" t="str">
        <f>IF(ISNUMBER(SEARCH("muf",A195)),"Chêne blanc","Blanc")</f>
        <v>Blanc</v>
      </c>
      <c r="I195" t="str">
        <f>CONCAT(G195,IF(H195="","",IF(H195="Blanc","-CW","-WWO")))</f>
        <v>DOWRC33.5-20-CW</v>
      </c>
      <c r="J195" t="str">
        <v>wall-cabinet</v>
      </c>
      <c r="K195" t="str">
        <v>upper-refrigerator</v>
      </c>
      <c r="L195" t="str">
        <f>IFERROR(VLOOKUP(J195,Categories!$A$2:$C$41,3,FALSE()),"⚠ slug introuvable")</f>
        <v>Armoire murale</v>
      </c>
      <c r="M195" t="str">
        <f>IFERROR(VLOOKUP(K195,Categories!$A$2:$C$41,3,FALSE()),"⚠ slug introuvable")</f>
        <v>Dessus du réfrigérateur</v>
      </c>
      <c r="N195" t="str">
        <v>Armoire de cuisine du haut à 2 portes pour dessus de réfrigérateur</v>
      </c>
      <c r="O195" t="str">
        <f>CONCAT(N195," (",AA195,""" x ",AB195,""")")</f>
        <v>Armoire de cuisine du haut à 2 portes pour dessus de réfrigérateur (33.5" x 20")</v>
      </c>
      <c r="P195" t="str">
        <f>CONCAT("Dessus de réfrigérateur"," (",AA195,""" x ",AB195,""")")</f>
        <v>Dessus de réfrigérateur (33.5" x 20")</v>
      </c>
      <c r="Q195" s="1">
        <v>636</v>
      </c>
      <c r="R195" s="1">
        <f>Q195/11.25</f>
        <v>56.53333333333333</v>
      </c>
      <c r="S195" s="1">
        <f>R195*1.4</f>
        <v>79.14666666666666</v>
      </c>
      <c r="T195" s="1">
        <f>S195*1.1</f>
        <v>87.06133333333334</v>
      </c>
      <c r="U195" s="1">
        <f>T195*1.2</f>
        <v>104.4736</v>
      </c>
      <c r="V195" s="1">
        <f>U195*1.2</f>
        <v>125.36832</v>
      </c>
      <c r="W195" s="1">
        <f>V195*1.1</f>
        <v>137.90515200000002</v>
      </c>
      <c r="X195" s="1">
        <f>W195</f>
        <v>137.90515200000002</v>
      </c>
      <c r="Y195" s="2">
        <v>0.4</v>
      </c>
      <c r="Z195" s="1">
        <f>X195*(1+Y195)</f>
        <v>193.06721280000002</v>
      </c>
      <c r="AA195">
        <v>33.5</v>
      </c>
      <c r="AB195">
        <v>20</v>
      </c>
      <c r="AC195">
        <v>27</v>
      </c>
      <c r="AD195">
        <v>2</v>
      </c>
      <c r="AE195">
        <v>0</v>
      </c>
      <c r="AF195" t="str">
        <v>Wall kitchen cabinet with 2 doors for above-fridge (33.5" x 20")</v>
      </c>
      <c r="AG195" t="str">
        <v>Above-fridge (33.5" x 20")</v>
      </c>
    </row>
    <row r="196" hidden="1">
      <c r="A196" t="str">
        <v>S8-W33.52027-Frameless</v>
      </c>
      <c r="B196" t="b">
        <v>1</v>
      </c>
      <c r="E196" t="b">
        <f>IF(OR(B196=TRUE,C196=TRUE,D196=TRUE),FALSE,TRUE)</f>
        <v>0</v>
      </c>
      <c r="H196" t="str">
        <f>IF(ISNUMBER(SEARCH("muf",A196)),"Chêne blanc","Blanc")</f>
        <v>Blanc</v>
      </c>
      <c r="I196" t="str">
        <f>CONCAT(G196,IF(H196="","",IF(H196="Blanc","-CW","-WWO")))</f>
        <v>-CW</v>
      </c>
      <c r="K196" t="str">
        <v>wall-cabinet-standard</v>
      </c>
      <c r="M196" t="str">
        <f>IFERROR(VLOOKUP(K196,Categories!$A$2:$C$41,3,FALSE()),"⚠ slug introuvable")</f>
        <v>⚠ slug introuvable</v>
      </c>
      <c r="N196" t="str">
        <v>W33.52027-Frameless</v>
      </c>
      <c r="Q196" s="1">
        <v>0</v>
      </c>
      <c r="R196" s="1">
        <f>Q196/11.25</f>
        <v>0</v>
      </c>
      <c r="S196" s="1">
        <f>R196*1.4</f>
        <v>0</v>
      </c>
      <c r="T196" s="1">
        <f>S196*1.1</f>
        <v>0</v>
      </c>
      <c r="U196" s="1">
        <f>T196*1.2</f>
        <v>0</v>
      </c>
      <c r="V196" s="1">
        <f>U196*1.2</f>
        <v>0</v>
      </c>
      <c r="W196" s="1">
        <f>V196*1.1</f>
        <v>0</v>
      </c>
      <c r="X196" s="1">
        <f>W196</f>
        <v>0</v>
      </c>
      <c r="Y196" s="2">
        <v>0.4</v>
      </c>
      <c r="Z196" s="1">
        <f>X196*(1+Y196)</f>
        <v>0</v>
      </c>
      <c r="AA196">
        <v>33.5</v>
      </c>
      <c r="AB196">
        <v>20</v>
      </c>
    </row>
    <row r="197" hidden="1">
      <c r="A197" t="str">
        <v>S8-W33.521</v>
      </c>
      <c r="B197" t="b">
        <v>1</v>
      </c>
      <c r="E197" t="b">
        <f>IF(OR(B197=TRUE,C197=TRUE,D197=TRUE),FALSE,TRUE)</f>
        <v>0</v>
      </c>
      <c r="H197" t="str">
        <f>IF(ISNUMBER(SEARCH("muf",A197)),"Chêne blanc","Blanc")</f>
        <v>Blanc</v>
      </c>
      <c r="I197" t="str">
        <f>CONCAT(G197,IF(H197="","",IF(H197="Blanc","-CW","-WWO")))</f>
        <v>-CW</v>
      </c>
      <c r="K197" t="str">
        <v>wall-cabinet-standard</v>
      </c>
      <c r="M197" t="str">
        <f>IFERROR(VLOOKUP(K197,Categories!$A$2:$C$41,3,FALSE()),"⚠ slug introuvable")</f>
        <v>⚠ slug introuvable</v>
      </c>
      <c r="N197" t="str">
        <v>W33.521</v>
      </c>
      <c r="Q197" s="1">
        <v>0</v>
      </c>
      <c r="R197" s="1">
        <f>Q197/11.25</f>
        <v>0</v>
      </c>
      <c r="S197" s="1">
        <f>R197*1.4</f>
        <v>0</v>
      </c>
      <c r="T197" s="1">
        <f>S197*1.1</f>
        <v>0</v>
      </c>
      <c r="U197" s="1">
        <f>T197*1.2</f>
        <v>0</v>
      </c>
      <c r="V197" s="1">
        <f>U197*1.2</f>
        <v>0</v>
      </c>
      <c r="W197" s="1">
        <f>V197*1.1</f>
        <v>0</v>
      </c>
      <c r="X197" s="1">
        <f>W197</f>
        <v>0</v>
      </c>
      <c r="Y197" s="2">
        <v>0.4</v>
      </c>
      <c r="Z197" s="1">
        <f>X197*(1+Y197)</f>
        <v>0</v>
      </c>
      <c r="AA197">
        <v>33.5</v>
      </c>
      <c r="AB197">
        <v>12</v>
      </c>
      <c r="AD197">
        <v>1</v>
      </c>
      <c r="AE197">
        <v>0</v>
      </c>
    </row>
    <row r="198" hidden="1">
      <c r="A198" t="str">
        <v>S8-W33.5X30X27</v>
      </c>
      <c r="E198" t="b">
        <f>IF(OR(B198=TRUE,C198=TRUE,D198=TRUE),FALSE,TRUE)</f>
        <v>1</v>
      </c>
      <c r="G198" t="str">
        <v>DOWRC33.5-30</v>
      </c>
      <c r="H198" t="str">
        <f>IF(ISNUMBER(SEARCH("muf",A198)),"Chêne blanc","Blanc")</f>
        <v>Blanc</v>
      </c>
      <c r="I198" t="str">
        <f>CONCAT(G198,IF(H198="","",IF(H198="Blanc","-CW","-WWO")))</f>
        <v>DOWRC33.5-30-CW</v>
      </c>
      <c r="J198" t="str">
        <v>wall-cabinet</v>
      </c>
      <c r="K198" t="str">
        <v>upper-refrigerator</v>
      </c>
      <c r="L198" t="str">
        <f>IFERROR(VLOOKUP(J198,Categories!$A$2:$C$41,3,FALSE()),"⚠ slug introuvable")</f>
        <v>Armoire murale</v>
      </c>
      <c r="M198" t="str">
        <f>IFERROR(VLOOKUP(K198,Categories!$A$2:$C$41,3,FALSE()),"⚠ slug introuvable")</f>
        <v>Dessus du réfrigérateur</v>
      </c>
      <c r="N198" t="str">
        <v>Armoire de cuisine du haut à 2 portes pour dessus de réfrigérateur</v>
      </c>
      <c r="O198" t="str">
        <f>CONCAT(N198," (",AA198,""" x ",AB198,""")")</f>
        <v>Armoire de cuisine du haut à 2 portes pour dessus de réfrigérateur (33.5" x 30")</v>
      </c>
      <c r="P198" t="str">
        <f>CONCAT("Dessus de réfrigérateur"," (",AA198,""" x ",AB198,""")")</f>
        <v>Dessus de réfrigérateur (33.5" x 30")</v>
      </c>
      <c r="Q198" s="1">
        <v>834</v>
      </c>
      <c r="R198" s="1">
        <f>Q198/11.25</f>
        <v>74.13333333333334</v>
      </c>
      <c r="S198" s="1">
        <f>R198*1.4</f>
        <v>103.78666666666668</v>
      </c>
      <c r="T198" s="1">
        <f>S198*1.1</f>
        <v>114.16533333333335</v>
      </c>
      <c r="U198" s="1">
        <f>T198*1.2</f>
        <v>136.9984</v>
      </c>
      <c r="V198" s="1">
        <f>U198*1.2</f>
        <v>164.39808</v>
      </c>
      <c r="W198" s="1">
        <f>V198*1.1</f>
        <v>180.83788800000002</v>
      </c>
      <c r="X198" s="1">
        <f>W198</f>
        <v>180.83788800000002</v>
      </c>
      <c r="Y198" s="2">
        <v>0.4</v>
      </c>
      <c r="Z198" s="1">
        <f>X198*(1+Y198)</f>
        <v>253.17304320000002</v>
      </c>
      <c r="AA198">
        <v>33.5</v>
      </c>
      <c r="AB198">
        <v>30</v>
      </c>
      <c r="AC198">
        <v>27</v>
      </c>
      <c r="AD198">
        <v>2</v>
      </c>
      <c r="AE198">
        <v>0</v>
      </c>
      <c r="AF198" t="str">
        <v>Wall kitchen cabinet with 2 doors for above-fridge (33.5" x 30")</v>
      </c>
      <c r="AG198" t="str">
        <v>Above-fridge (33.5" x 30")</v>
      </c>
    </row>
    <row r="199" hidden="1">
      <c r="A199" t="str">
        <v>S8-W3312</v>
      </c>
      <c r="E199" t="b">
        <f>IF(OR(B199=TRUE,C199=TRUE,D199=TRUE),FALSE,TRUE)</f>
        <v>1</v>
      </c>
      <c r="G199" t="str">
        <v>DOWC3312</v>
      </c>
      <c r="H199" t="str">
        <f>IF(ISNUMBER(SEARCH("muf",A199)),"Chêne blanc","Blanc")</f>
        <v>Blanc</v>
      </c>
      <c r="I199" t="str">
        <f>CONCAT(G199,IF(H199="","",IF(H199="Blanc","-CW","-WWO")))</f>
        <v>DOWC3312-CW</v>
      </c>
      <c r="J199" t="str">
        <v>wall-cabinet</v>
      </c>
      <c r="K199" t="str">
        <v>standard</v>
      </c>
      <c r="L199" t="str">
        <f>IFERROR(VLOOKUP(J199,Categories!$A$2:$C$41,3,FALSE()),"⚠ slug introuvable")</f>
        <v>Armoire murale</v>
      </c>
      <c r="M199" t="str">
        <f>IFERROR(VLOOKUP(K199,Categories!$A$2:$C$41,3,FALSE()),"⚠ slug introuvable")</f>
        <v>Standard</v>
      </c>
      <c r="N199" t="str">
        <v>Armoire de cuisine du haut à 2 portes</v>
      </c>
      <c r="O199" t="str">
        <f>CONCAT(N199," (",AA199,""" x ",AB199,""")")</f>
        <v>Armoire de cuisine du haut à 2 portes (33" x 12")</v>
      </c>
      <c r="P199" t="str">
        <f>CONCAT("2 portes"," (",AA199,""" x ",AB199,""")")</f>
        <v>2 portes (33" x 12")</v>
      </c>
      <c r="Q199" s="1">
        <v>338</v>
      </c>
      <c r="R199" s="1">
        <f>Q199/11.25</f>
        <v>30.044444444444444</v>
      </c>
      <c r="S199" s="1">
        <f>R199*1.4</f>
        <v>42.06222222222222</v>
      </c>
      <c r="T199" s="1">
        <f>S199*1.1</f>
        <v>46.26844444444444</v>
      </c>
      <c r="U199" s="1">
        <f>T199*1.2</f>
        <v>55.52213333333333</v>
      </c>
      <c r="V199" s="1">
        <f>U199*1.2</f>
        <v>66.62656</v>
      </c>
      <c r="W199" s="1">
        <f>V199*1.1</f>
        <v>73.28921600000001</v>
      </c>
      <c r="X199" s="1">
        <f>W199</f>
        <v>73.28921600000001</v>
      </c>
      <c r="Y199" s="2">
        <v>0.4</v>
      </c>
      <c r="Z199" s="1">
        <f>X199*(1+Y199)</f>
        <v>102.60490240000001</v>
      </c>
      <c r="AA199">
        <v>33</v>
      </c>
      <c r="AB199">
        <v>12</v>
      </c>
      <c r="AC199">
        <v>12</v>
      </c>
      <c r="AD199">
        <v>2</v>
      </c>
      <c r="AE199">
        <v>0</v>
      </c>
      <c r="AF199" t="str">
        <v>Wall kitchen cabinet with 2 doors (33" x 12")</v>
      </c>
      <c r="AG199" t="str">
        <v>2 doors (33" x 12")</v>
      </c>
    </row>
    <row r="200" hidden="1">
      <c r="A200" t="str">
        <v>S8-W3318</v>
      </c>
      <c r="E200" t="b">
        <f>IF(OR(B200=TRUE,C200=TRUE,D200=TRUE),FALSE,TRUE)</f>
        <v>1</v>
      </c>
      <c r="G200" t="str">
        <v>DOWC3318</v>
      </c>
      <c r="H200" t="str">
        <f>IF(ISNUMBER(SEARCH("muf",A200)),"Chêne blanc","Blanc")</f>
        <v>Blanc</v>
      </c>
      <c r="I200" t="str">
        <f>CONCAT(G200,IF(H200="","",IF(H200="Blanc","-CW","-WWO")))</f>
        <v>DOWC3318-CW</v>
      </c>
      <c r="J200" t="str">
        <v>wall-cabinet</v>
      </c>
      <c r="K200" t="str">
        <v>standard</v>
      </c>
      <c r="L200" t="str">
        <f>IFERROR(VLOOKUP(J200,Categories!$A$2:$C$41,3,FALSE()),"⚠ slug introuvable")</f>
        <v>Armoire murale</v>
      </c>
      <c r="M200" t="str">
        <f>IFERROR(VLOOKUP(K200,Categories!$A$2:$C$41,3,FALSE()),"⚠ slug introuvable")</f>
        <v>Standard</v>
      </c>
      <c r="N200" t="str">
        <v>Armoire de cuisine du haut à 2 portes</v>
      </c>
      <c r="O200" t="str">
        <f>CONCAT(N200," (",AA200,""" x ",AB200,""")")</f>
        <v>Armoire de cuisine du haut à 2 portes (33" x 18")</v>
      </c>
      <c r="P200" t="str">
        <f>CONCAT("2 portes"," (",AA200,""" x ",AB200,""")")</f>
        <v>2 portes (33" x 18")</v>
      </c>
      <c r="Q200" s="1">
        <v>464</v>
      </c>
      <c r="R200" s="1">
        <f>Q200/11.25</f>
        <v>41.24444444444445</v>
      </c>
      <c r="S200" s="1">
        <f>R200*1.4</f>
        <v>57.742222222222225</v>
      </c>
      <c r="T200" s="1">
        <f>S200*1.1</f>
        <v>63.51644444444445</v>
      </c>
      <c r="U200" s="1">
        <f>T200*1.2</f>
        <v>76.21973333333334</v>
      </c>
      <c r="V200" s="1">
        <f>U200*1.2</f>
        <v>91.46368</v>
      </c>
      <c r="W200" s="1">
        <f>V200*1.1</f>
        <v>100.610048</v>
      </c>
      <c r="X200" s="1">
        <f>W200</f>
        <v>100.610048</v>
      </c>
      <c r="Y200" s="2">
        <v>0.4</v>
      </c>
      <c r="Z200" s="1">
        <f>X200*(1+Y200)</f>
        <v>140.8540672</v>
      </c>
      <c r="AA200">
        <v>33</v>
      </c>
      <c r="AB200">
        <v>18</v>
      </c>
      <c r="AC200">
        <v>12</v>
      </c>
      <c r="AD200">
        <v>2</v>
      </c>
      <c r="AE200">
        <v>0</v>
      </c>
      <c r="AF200" t="str">
        <v>Wall kitchen cabinet with 2 doors (33" x 18")</v>
      </c>
      <c r="AG200" t="str">
        <v>2 doors (33" x 18")</v>
      </c>
    </row>
    <row r="201" hidden="1">
      <c r="A201" t="str">
        <v>S8-W3330</v>
      </c>
      <c r="E201" t="b">
        <f>IF(OR(B201=TRUE,C201=TRUE,D201=TRUE),FALSE,TRUE)</f>
        <v>1</v>
      </c>
      <c r="G201" t="str">
        <v>DOWC3330</v>
      </c>
      <c r="H201" t="str">
        <f>IF(ISNUMBER(SEARCH("muf",A201)),"Chêne blanc","Blanc")</f>
        <v>Blanc</v>
      </c>
      <c r="I201" t="str">
        <f>CONCAT(G201,IF(H201="","",IF(H201="Blanc","-CW","-WWO")))</f>
        <v>DOWC3330-CW</v>
      </c>
      <c r="J201" t="str">
        <v>wall-cabinet</v>
      </c>
      <c r="K201" t="str">
        <v>standard</v>
      </c>
      <c r="L201" t="str">
        <f>IFERROR(VLOOKUP(J201,Categories!$A$2:$C$41,3,FALSE()),"⚠ slug introuvable")</f>
        <v>Armoire murale</v>
      </c>
      <c r="M201" t="str">
        <f>IFERROR(VLOOKUP(K201,Categories!$A$2:$C$41,3,FALSE()),"⚠ slug introuvable")</f>
        <v>Standard</v>
      </c>
      <c r="N201" t="str">
        <v>Armoire de cuisine du haut à 2 portes</v>
      </c>
      <c r="O201" t="str">
        <f>CONCAT(N201," (",AA201,""" x ",AB201,""")")</f>
        <v>Armoire de cuisine du haut à 2 portes (33" x 30")</v>
      </c>
      <c r="P201" t="str">
        <f>CONCAT("2 portes"," (",AA201,""" x ",AB201,""")")</f>
        <v>2 portes (33" x 30")</v>
      </c>
      <c r="Q201" s="1">
        <v>708</v>
      </c>
      <c r="R201" s="1">
        <f>Q201/11.25</f>
        <v>62.93333333333333</v>
      </c>
      <c r="S201" s="1">
        <f>R201*1.4</f>
        <v>88.10666666666665</v>
      </c>
      <c r="T201" s="1">
        <f>S201*1.1</f>
        <v>96.91733333333333</v>
      </c>
      <c r="U201" s="1">
        <f>T201*1.2</f>
        <v>116.3008</v>
      </c>
      <c r="V201" s="1">
        <f>U201*1.2</f>
        <v>139.56096</v>
      </c>
      <c r="W201" s="1">
        <f>V201*1.1</f>
        <v>153.517056</v>
      </c>
      <c r="X201" s="1">
        <f>W201</f>
        <v>153.517056</v>
      </c>
      <c r="Y201" s="2">
        <v>0.4</v>
      </c>
      <c r="Z201" s="1">
        <f>X201*(1+Y201)</f>
        <v>214.92387839999998</v>
      </c>
      <c r="AA201">
        <v>33</v>
      </c>
      <c r="AB201">
        <v>30</v>
      </c>
      <c r="AC201">
        <v>12</v>
      </c>
      <c r="AD201">
        <v>2</v>
      </c>
      <c r="AE201">
        <v>0</v>
      </c>
      <c r="AF201" t="str">
        <v>Wall kitchen cabinet with 2 doors (33" x 30")</v>
      </c>
      <c r="AG201" t="str">
        <v>2 doors (33" x 30")</v>
      </c>
    </row>
    <row r="202" hidden="1">
      <c r="A202" t="str">
        <v>S8-W3336</v>
      </c>
      <c r="E202" t="b">
        <f>IF(OR(B202=TRUE,C202=TRUE,D202=TRUE),FALSE,TRUE)</f>
        <v>1</v>
      </c>
      <c r="G202" t="str">
        <v>DOWC3336</v>
      </c>
      <c r="H202" t="str">
        <f>IF(ISNUMBER(SEARCH("muf",A202)),"Chêne blanc","Blanc")</f>
        <v>Blanc</v>
      </c>
      <c r="I202" t="str">
        <f>CONCAT(G202,IF(H202="","",IF(H202="Blanc","-CW","-WWO")))</f>
        <v>DOWC3336-CW</v>
      </c>
      <c r="J202" t="str">
        <v>wall-cabinet</v>
      </c>
      <c r="K202" t="str">
        <v>standard</v>
      </c>
      <c r="L202" t="str">
        <f>IFERROR(VLOOKUP(J202,Categories!$A$2:$C$41,3,FALSE()),"⚠ slug introuvable")</f>
        <v>Armoire murale</v>
      </c>
      <c r="M202" t="str">
        <f>IFERROR(VLOOKUP(K202,Categories!$A$2:$C$41,3,FALSE()),"⚠ slug introuvable")</f>
        <v>Standard</v>
      </c>
      <c r="N202" t="str">
        <v>Armoire de cuisine du haut à 2 portes</v>
      </c>
      <c r="O202" t="str">
        <f>CONCAT(N202," (",AA202,""" x ",AB202,""")")</f>
        <v>Armoire de cuisine du haut à 2 portes (33" x 36")</v>
      </c>
      <c r="P202" t="str">
        <f>CONCAT("2 portes"," (",AA202,""" x ",AB202,""")")</f>
        <v>2 portes (33" x 36")</v>
      </c>
      <c r="Q202" s="1">
        <v>814</v>
      </c>
      <c r="R202" s="1">
        <f>Q202/11.25</f>
        <v>72.35555555555555</v>
      </c>
      <c r="S202" s="1">
        <f>R202*1.4</f>
        <v>101.29777777777777</v>
      </c>
      <c r="T202" s="1">
        <f>S202*1.1</f>
        <v>111.42755555555556</v>
      </c>
      <c r="U202" s="1">
        <f>T202*1.2</f>
        <v>133.71306666666666</v>
      </c>
      <c r="V202" s="1">
        <f>U202*1.2</f>
        <v>160.45568</v>
      </c>
      <c r="W202" s="1">
        <f>V202*1.1</f>
        <v>176.501248</v>
      </c>
      <c r="X202" s="1">
        <f>W202</f>
        <v>176.501248</v>
      </c>
      <c r="Y202" s="2">
        <v>0.4</v>
      </c>
      <c r="Z202" s="1">
        <f>X202*(1+Y202)</f>
        <v>247.10174719999998</v>
      </c>
      <c r="AA202">
        <v>33</v>
      </c>
      <c r="AB202">
        <v>36</v>
      </c>
      <c r="AC202">
        <v>12</v>
      </c>
      <c r="AD202">
        <v>2</v>
      </c>
      <c r="AE202">
        <v>0</v>
      </c>
      <c r="AF202" t="str">
        <v>Wall kitchen cabinet with 2 doors (33" x 36")</v>
      </c>
      <c r="AG202" t="str">
        <v>2 doors (33" x 36")</v>
      </c>
    </row>
    <row r="203" hidden="1">
      <c r="A203" t="str">
        <v>S8-W3336-Door</v>
      </c>
      <c r="B203" t="b">
        <v>1</v>
      </c>
      <c r="E203" t="b">
        <f>IF(OR(B203=TRUE,C203=TRUE,D203=TRUE),FALSE,TRUE)</f>
        <v>0</v>
      </c>
      <c r="H203" t="str">
        <f>IF(ISNUMBER(SEARCH("muf",A203)),"Chêne blanc","Blanc")</f>
        <v>Blanc</v>
      </c>
      <c r="I203" t="str">
        <f>CONCAT(G203,IF(H203="","",IF(H203="Blanc","-CW","-WWO")))</f>
        <v>-CW</v>
      </c>
      <c r="K203" t="str">
        <v>wall-cabinet-standard</v>
      </c>
      <c r="M203" t="str">
        <f>IFERROR(VLOOKUP(K203,Categories!$A$2:$C$41,3,FALSE()),"⚠ slug introuvable")</f>
        <v>⚠ slug introuvable</v>
      </c>
      <c r="N203" t="str">
        <v>W3336-Door</v>
      </c>
      <c r="Q203" s="1">
        <v>0</v>
      </c>
      <c r="R203" s="1">
        <f>Q203/11.25</f>
        <v>0</v>
      </c>
      <c r="S203" s="1">
        <f>R203*1.4</f>
        <v>0</v>
      </c>
      <c r="T203" s="1">
        <f>S203*1.1</f>
        <v>0</v>
      </c>
      <c r="U203" s="1">
        <f>T203*1.2</f>
        <v>0</v>
      </c>
      <c r="V203" s="1">
        <f>U203*1.2</f>
        <v>0</v>
      </c>
      <c r="W203" s="1">
        <f>V203*1.1</f>
        <v>0</v>
      </c>
      <c r="X203" s="1">
        <f>W203</f>
        <v>0</v>
      </c>
      <c r="Y203" s="2">
        <v>0.4</v>
      </c>
      <c r="Z203" s="1">
        <f>X203*(1+Y203)</f>
        <v>0</v>
      </c>
      <c r="AA203">
        <v>33</v>
      </c>
      <c r="AB203">
        <v>36</v>
      </c>
      <c r="AC203">
        <v>12</v>
      </c>
      <c r="AD203">
        <v>2</v>
      </c>
      <c r="AE203">
        <v>0</v>
      </c>
    </row>
    <row r="204" hidden="1">
      <c r="A204" t="str">
        <v>S8-W3348</v>
      </c>
      <c r="E204" t="b">
        <f>IF(OR(B204=TRUE,C204=TRUE,D204=TRUE),FALSE,TRUE)</f>
        <v>1</v>
      </c>
      <c r="G204" t="str">
        <v>DOWC3348</v>
      </c>
      <c r="H204" t="str">
        <f>IF(ISNUMBER(SEARCH("muf",A204)),"Chêne blanc","Blanc")</f>
        <v>Blanc</v>
      </c>
      <c r="I204" t="str">
        <f>CONCAT(G204,IF(H204="","",IF(H204="Blanc","-CW","-WWO")))</f>
        <v>DOWC3348-CW</v>
      </c>
      <c r="J204" t="str">
        <v>wall-cabinet</v>
      </c>
      <c r="K204" t="str">
        <v>standard</v>
      </c>
      <c r="L204" t="str">
        <f>IFERROR(VLOOKUP(J204,Categories!$A$2:$C$41,3,FALSE()),"⚠ slug introuvable")</f>
        <v>Armoire murale</v>
      </c>
      <c r="M204" t="str">
        <f>IFERROR(VLOOKUP(K204,Categories!$A$2:$C$41,3,FALSE()),"⚠ slug introuvable")</f>
        <v>Standard</v>
      </c>
      <c r="N204" t="str">
        <v>Armoire de cuisine du haut à 2 portes</v>
      </c>
      <c r="O204" t="str">
        <f>CONCAT(N204," (",AA204,""" x ",AB204,""")")</f>
        <v>Armoire de cuisine du haut à 2 portes (33" x 48")</v>
      </c>
      <c r="P204" t="str">
        <f>CONCAT("2 portes"," (",AA204,""" x ",AB204,""")")</f>
        <v>2 portes (33" x 48")</v>
      </c>
      <c r="Q204" s="1">
        <v>1500</v>
      </c>
      <c r="R204" s="1">
        <f>Q204/11.25</f>
        <v>133.33333333333334</v>
      </c>
      <c r="S204" s="1">
        <f>R204*1.4</f>
        <v>186.66666666666666</v>
      </c>
      <c r="T204" s="1">
        <f>S204*1.1</f>
        <v>205.33333333333334</v>
      </c>
      <c r="U204" s="1">
        <f>T204*1.2</f>
        <v>246.4</v>
      </c>
      <c r="V204" s="1">
        <f>U204*1.2</f>
        <v>295.68</v>
      </c>
      <c r="W204" s="1">
        <f>V204*1.1</f>
        <v>325.24800000000005</v>
      </c>
      <c r="X204" s="1">
        <f>W204</f>
        <v>325.24800000000005</v>
      </c>
      <c r="Y204" s="2">
        <v>0.4</v>
      </c>
      <c r="Z204" s="1">
        <f>X204*(1+Y204)</f>
        <v>455.34720000000004</v>
      </c>
      <c r="AA204">
        <v>33</v>
      </c>
      <c r="AB204">
        <v>48</v>
      </c>
      <c r="AC204">
        <v>12</v>
      </c>
      <c r="AD204">
        <v>2</v>
      </c>
      <c r="AE204">
        <v>0</v>
      </c>
      <c r="AF204" t="str">
        <v>Wall kitchen cabinet with 2 doors (33" x 48")</v>
      </c>
      <c r="AG204" t="str">
        <v>2 doors (33" x 48")</v>
      </c>
    </row>
    <row r="205" hidden="1">
      <c r="A205" t="str">
        <v>S8-W33X19.5</v>
      </c>
      <c r="E205" t="b">
        <f>IF(OR(B205=TRUE,C205=TRUE,D205=TRUE),FALSE,TRUE)</f>
        <v>1</v>
      </c>
      <c r="G205" t="str">
        <v>DOWRC33-19.5</v>
      </c>
      <c r="H205" t="str">
        <f>IF(ISNUMBER(SEARCH("muf",A205)),"Chêne blanc","Blanc")</f>
        <v>Blanc</v>
      </c>
      <c r="I205" t="str">
        <f>CONCAT(G205,IF(H205="","",IF(H205="Blanc","-CW","-WWO")))</f>
        <v>DOWRC33-19.5-CW</v>
      </c>
      <c r="J205" t="str">
        <v>wall-cabinet</v>
      </c>
      <c r="K205" t="str">
        <v>standard</v>
      </c>
      <c r="L205" t="str">
        <f>IFERROR(VLOOKUP(J205,Categories!$A$2:$C$41,3,FALSE()),"⚠ slug introuvable")</f>
        <v>Armoire murale</v>
      </c>
      <c r="M205" t="str">
        <f>IFERROR(VLOOKUP(K205,Categories!$A$2:$C$41,3,FALSE()),"⚠ slug introuvable")</f>
        <v>Standard</v>
      </c>
      <c r="N205" t="str">
        <v>Armoire de cuisine du haut à 2 portes</v>
      </c>
      <c r="O205" t="str">
        <f>CONCAT(N205," (",AA205,""" x ",AB205,""")")</f>
        <v>Armoire de cuisine du haut à 2 portes (33" x 19.5")</v>
      </c>
      <c r="P205" t="str">
        <f>CONCAT("2 portes"," (",AA205,""" x ",AB205,""")")</f>
        <v>2 portes (33" x 19.5")</v>
      </c>
      <c r="Q205" s="1">
        <v>489</v>
      </c>
      <c r="R205" s="1">
        <f>Q205/11.25</f>
        <v>43.46666666666667</v>
      </c>
      <c r="S205" s="1">
        <f>R205*1.4</f>
        <v>60.85333333333333</v>
      </c>
      <c r="T205" s="1">
        <f>S205*1.1</f>
        <v>66.93866666666668</v>
      </c>
      <c r="U205" s="1">
        <f>T205*1.2</f>
        <v>80.3264</v>
      </c>
      <c r="V205" s="1">
        <f>U205*1.2</f>
        <v>96.39168000000001</v>
      </c>
      <c r="W205" s="1">
        <f>V205*1.1</f>
        <v>106.03084800000002</v>
      </c>
      <c r="X205" s="1">
        <f>W205</f>
        <v>106.03084800000002</v>
      </c>
      <c r="Y205" s="2">
        <v>0.4</v>
      </c>
      <c r="Z205" s="1">
        <f>X205*(1+Y205)</f>
        <v>148.4431872</v>
      </c>
      <c r="AA205">
        <v>33</v>
      </c>
      <c r="AB205">
        <v>19.5</v>
      </c>
      <c r="AC205">
        <v>12</v>
      </c>
      <c r="AD205">
        <v>2</v>
      </c>
      <c r="AE205">
        <v>0</v>
      </c>
      <c r="AF205" t="str">
        <v>Wall kitchen cabinet with 2 doors (33" x 19.5")</v>
      </c>
      <c r="AG205" t="str">
        <v>2 doors (33" x 19.5")</v>
      </c>
    </row>
    <row r="206" hidden="1">
      <c r="A206" t="str">
        <v>S8-W36.51227</v>
      </c>
      <c r="E206" t="b">
        <f>IF(OR(B206=TRUE,C206=TRUE,D206=TRUE),FALSE,TRUE)</f>
        <v>1</v>
      </c>
      <c r="G206" t="str">
        <v>DOWRC36.5-12</v>
      </c>
      <c r="H206" t="str">
        <f>IF(ISNUMBER(SEARCH("muf",A206)),"Chêne blanc","Blanc")</f>
        <v>Blanc</v>
      </c>
      <c r="I206" t="str">
        <f>CONCAT(G206,IF(H206="","",IF(H206="Blanc","-CW","-WWO")))</f>
        <v>DOWRC36.5-12-CW</v>
      </c>
      <c r="J206" t="str">
        <v>wall-cabinet</v>
      </c>
      <c r="K206" t="str">
        <v>upper-refrigerator</v>
      </c>
      <c r="L206" t="str">
        <f>IFERROR(VLOOKUP(J206,Categories!$A$2:$C$41,3,FALSE()),"⚠ slug introuvable")</f>
        <v>Armoire murale</v>
      </c>
      <c r="M206" t="str">
        <f>IFERROR(VLOOKUP(K206,Categories!$A$2:$C$41,3,FALSE()),"⚠ slug introuvable")</f>
        <v>Dessus du réfrigérateur</v>
      </c>
      <c r="N206" t="str">
        <v>Armoire de cuisine du haut à 2 portes pour dessus de réfrigérateur</v>
      </c>
      <c r="O206" t="str">
        <f>CONCAT(N206," (",AA206,""" x ",AB206,""")")</f>
        <v>Armoire de cuisine du haut à 2 portes pour dessus de réfrigérateur (36.5" x 12")</v>
      </c>
      <c r="P206" t="str">
        <f>CONCAT("Dessus de réfrigérateur"," (",AA206,""" x ",AB206,""")")</f>
        <v>Dessus de réfrigérateur (36.5" x 12")</v>
      </c>
      <c r="Q206" s="1">
        <v>536</v>
      </c>
      <c r="R206" s="1">
        <f>Q206/11.25</f>
        <v>47.644444444444446</v>
      </c>
      <c r="S206" s="1">
        <f>R206*1.4</f>
        <v>66.70222222222222</v>
      </c>
      <c r="T206" s="1">
        <f>S206*1.1</f>
        <v>73.37244444444444</v>
      </c>
      <c r="U206" s="1">
        <f>T206*1.2</f>
        <v>88.04693333333333</v>
      </c>
      <c r="V206" s="1">
        <f>U206*1.2</f>
        <v>105.65632</v>
      </c>
      <c r="W206" s="1">
        <f>V206*1.1</f>
        <v>116.221952</v>
      </c>
      <c r="X206" s="1">
        <f>W206</f>
        <v>116.221952</v>
      </c>
      <c r="Y206" s="2">
        <v>0.4</v>
      </c>
      <c r="Z206" s="1">
        <f>X206*(1+Y206)</f>
        <v>162.7107328</v>
      </c>
      <c r="AA206">
        <v>36.5</v>
      </c>
      <c r="AB206">
        <v>12</v>
      </c>
      <c r="AC206">
        <v>27</v>
      </c>
      <c r="AD206">
        <v>2</v>
      </c>
      <c r="AE206">
        <v>0</v>
      </c>
      <c r="AF206" t="str">
        <v>Wall kitchen cabinet with 2 doors for above-fridge (36.5" x 12")</v>
      </c>
      <c r="AG206" t="str">
        <v>Above-fridge (36.5" x 12")</v>
      </c>
    </row>
    <row r="207" hidden="1">
      <c r="A207" t="str">
        <v>S8-W36.51827</v>
      </c>
      <c r="E207" t="b">
        <f>IF(OR(B207=TRUE,C207=TRUE,D207=TRUE),FALSE,TRUE)</f>
        <v>1</v>
      </c>
      <c r="G207" t="str">
        <v>DOWRC36.5-18</v>
      </c>
      <c r="H207" t="str">
        <f>IF(ISNUMBER(SEARCH("muf",A207)),"Chêne blanc","Blanc")</f>
        <v>Blanc</v>
      </c>
      <c r="I207" t="str">
        <f>CONCAT(G207,IF(H207="","",IF(H207="Blanc","-CW","-WWO")))</f>
        <v>DOWRC36.5-18-CW</v>
      </c>
      <c r="J207" t="str">
        <v>wall-cabinet</v>
      </c>
      <c r="K207" t="str">
        <v>upper-refrigerator</v>
      </c>
      <c r="L207" t="str">
        <f>IFERROR(VLOOKUP(J207,Categories!$A$2:$C$41,3,FALSE()),"⚠ slug introuvable")</f>
        <v>Armoire murale</v>
      </c>
      <c r="M207" t="str">
        <f>IFERROR(VLOOKUP(K207,Categories!$A$2:$C$41,3,FALSE()),"⚠ slug introuvable")</f>
        <v>Dessus du réfrigérateur</v>
      </c>
      <c r="N207" t="str">
        <v>Armoire de cuisine du haut à 2 portes pour dessus de réfrigérateur</v>
      </c>
      <c r="O207" t="str">
        <f>CONCAT(N207," (",AA207,""" x ",AB207,""")")</f>
        <v>Armoire de cuisine du haut à 2 portes pour dessus de réfrigérateur (36.5" x 18")</v>
      </c>
      <c r="P207" t="str">
        <f>CONCAT("Dessus de réfrigérateur"," (",AA207,""" x ",AB207,""")")</f>
        <v>Dessus de réfrigérateur (36.5" x 18")</v>
      </c>
      <c r="Q207" s="1">
        <v>662</v>
      </c>
      <c r="R207" s="1">
        <f>Q207/11.25</f>
        <v>58.84444444444444</v>
      </c>
      <c r="S207" s="1">
        <f>R207*1.4</f>
        <v>82.38222222222221</v>
      </c>
      <c r="T207" s="1">
        <f>S207*1.1</f>
        <v>90.62044444444444</v>
      </c>
      <c r="U207" s="1">
        <f>T207*1.2</f>
        <v>108.74453333333334</v>
      </c>
      <c r="V207" s="1">
        <f>U207*1.2</f>
        <v>130.49344</v>
      </c>
      <c r="W207" s="1">
        <f>V207*1.1</f>
        <v>143.542784</v>
      </c>
      <c r="X207" s="1">
        <f>W207</f>
        <v>143.542784</v>
      </c>
      <c r="Y207" s="2">
        <v>0.4</v>
      </c>
      <c r="Z207" s="1">
        <f>X207*(1+Y207)</f>
        <v>200.9598976</v>
      </c>
      <c r="AA207">
        <v>36.5</v>
      </c>
      <c r="AB207">
        <v>18</v>
      </c>
      <c r="AC207">
        <v>27</v>
      </c>
      <c r="AD207">
        <v>2</v>
      </c>
      <c r="AE207">
        <v>0</v>
      </c>
      <c r="AF207" t="str">
        <v>Wall kitchen cabinet with 2 doors for above-fridge (36.5" x 18")</v>
      </c>
      <c r="AG207" t="str">
        <v>Above-fridge (36.5" x 18")</v>
      </c>
    </row>
    <row r="208" hidden="1">
      <c r="A208" t="str">
        <v>S8-W36.52027-Frameless</v>
      </c>
      <c r="B208" t="b">
        <v>1</v>
      </c>
      <c r="E208" t="b">
        <f>IF(OR(B208=TRUE,C208=TRUE,D208=TRUE),FALSE,TRUE)</f>
        <v>0</v>
      </c>
      <c r="H208" t="str">
        <f>IF(ISNUMBER(SEARCH("muf",A208)),"Chêne blanc","Blanc")</f>
        <v>Blanc</v>
      </c>
      <c r="I208" t="str">
        <f>CONCAT(G208,IF(H208="","",IF(H208="Blanc","-CW","-WWO")))</f>
        <v>-CW</v>
      </c>
      <c r="K208" t="str">
        <v>wall-cabinet-standard</v>
      </c>
      <c r="M208" t="str">
        <f>IFERROR(VLOOKUP(K208,Categories!$A$2:$C$41,3,FALSE()),"⚠ slug introuvable")</f>
        <v>⚠ slug introuvable</v>
      </c>
      <c r="N208" t="str">
        <v>W36.52027-Frameless</v>
      </c>
      <c r="R208" s="1">
        <f>Q208/11.25</f>
        <v>0</v>
      </c>
      <c r="S208" s="1">
        <f>R208*1.4</f>
        <v>0</v>
      </c>
      <c r="T208" s="1">
        <f>S208*1.1</f>
        <v>0</v>
      </c>
      <c r="U208" s="1">
        <f>T208*1.2</f>
        <v>0</v>
      </c>
      <c r="V208" s="1">
        <f>U208*1.2</f>
        <v>0</v>
      </c>
      <c r="W208" s="1">
        <f>V208*1.1</f>
        <v>0</v>
      </c>
      <c r="X208" s="1">
        <f>W208</f>
        <v>0</v>
      </c>
      <c r="Y208" s="2">
        <v>0.4</v>
      </c>
      <c r="Z208" s="1">
        <f>X208*(1+Y208)</f>
        <v>0</v>
      </c>
      <c r="AA208">
        <v>36.5</v>
      </c>
      <c r="AB208">
        <v>27</v>
      </c>
      <c r="AC208">
        <v>20</v>
      </c>
      <c r="AD208">
        <v>1</v>
      </c>
      <c r="AE208">
        <v>0</v>
      </c>
    </row>
    <row r="209" hidden="1">
      <c r="A209" t="str">
        <v>S8-W36.5X20X27</v>
      </c>
      <c r="E209" t="b">
        <f>IF(OR(B209=TRUE,C209=TRUE,D209=TRUE),FALSE,TRUE)</f>
        <v>1</v>
      </c>
      <c r="G209" t="str">
        <v>DOWRC36.5-20</v>
      </c>
      <c r="H209" t="str">
        <f>IF(ISNUMBER(SEARCH("muf",A209)),"Chêne blanc","Blanc")</f>
        <v>Blanc</v>
      </c>
      <c r="I209" t="str">
        <f>CONCAT(G209,IF(H209="","",IF(H209="Blanc","-CW","-WWO")))</f>
        <v>DOWRC36.5-20-CW</v>
      </c>
      <c r="J209" t="str">
        <v>wall-cabinet</v>
      </c>
      <c r="K209" t="str">
        <v>upper-refrigerator</v>
      </c>
      <c r="L209" t="str">
        <f>IFERROR(VLOOKUP(J209,Categories!$A$2:$C$41,3,FALSE()),"⚠ slug introuvable")</f>
        <v>Armoire murale</v>
      </c>
      <c r="M209" t="str">
        <f>IFERROR(VLOOKUP(K209,Categories!$A$2:$C$41,3,FALSE()),"⚠ slug introuvable")</f>
        <v>Dessus du réfrigérateur</v>
      </c>
      <c r="N209" t="str">
        <v>Armoire de cuisine du haut à 2 portes pour dessus de réfrigérateur</v>
      </c>
      <c r="O209" t="str">
        <f>CONCAT(N209," (",AA209,""" x ",AB209,""")")</f>
        <v>Armoire de cuisine du haut à 2 portes pour dessus de réfrigérateur (36.5" x 20")</v>
      </c>
      <c r="P209" t="str">
        <f>CONCAT("Dessus de réfrigérateur"," (",AA209,""" x ",AB209,""")")</f>
        <v>Dessus de réfrigérateur (36.5" x 20")</v>
      </c>
      <c r="Q209" s="1">
        <v>655</v>
      </c>
      <c r="R209" s="1">
        <f>Q209/11.25</f>
        <v>58.22222222222222</v>
      </c>
      <c r="S209" s="1">
        <f>R209*1.4</f>
        <v>81.5111111111111</v>
      </c>
      <c r="T209" s="1">
        <f>S209*1.1</f>
        <v>89.66222222222223</v>
      </c>
      <c r="U209" s="1">
        <f>T209*1.2</f>
        <v>107.59466666666667</v>
      </c>
      <c r="V209" s="1">
        <f>U209*1.2</f>
        <v>129.1136</v>
      </c>
      <c r="W209" s="1">
        <f>V209*1.1</f>
        <v>142.02496</v>
      </c>
      <c r="X209" s="1">
        <f>W209</f>
        <v>142.02496</v>
      </c>
      <c r="Y209" s="2">
        <v>0.4</v>
      </c>
      <c r="Z209" s="1">
        <f>X209*(1+Y209)</f>
        <v>198.83494399999998</v>
      </c>
      <c r="AA209">
        <v>36.5</v>
      </c>
      <c r="AB209">
        <v>20</v>
      </c>
      <c r="AC209">
        <v>27</v>
      </c>
      <c r="AD209">
        <v>2</v>
      </c>
      <c r="AE209">
        <v>0</v>
      </c>
      <c r="AF209" t="str">
        <v>Wall kitchen cabinet with 2 doors for above-fridge (36.5" x 20")</v>
      </c>
      <c r="AG209" t="str">
        <v>Above-fridge (36.5" x 20")</v>
      </c>
    </row>
    <row r="210" hidden="1">
      <c r="A210" t="str">
        <v>S8-W36.5X30X27</v>
      </c>
      <c r="E210" t="b">
        <f>IF(OR(B210=TRUE,C210=TRUE,D210=TRUE),FALSE,TRUE)</f>
        <v>1</v>
      </c>
      <c r="G210" t="str">
        <v>DOWRC36.5-30</v>
      </c>
      <c r="H210" t="str">
        <f>IF(ISNUMBER(SEARCH("muf",A210)),"Chêne blanc","Blanc")</f>
        <v>Blanc</v>
      </c>
      <c r="I210" t="str">
        <f>CONCAT(G210,IF(H210="","",IF(H210="Blanc","-CW","-WWO")))</f>
        <v>DOWRC36.5-30-CW</v>
      </c>
      <c r="J210" t="str">
        <v>wall-cabinet</v>
      </c>
      <c r="K210" t="str">
        <v>upper-refrigerator</v>
      </c>
      <c r="L210" t="str">
        <f>IFERROR(VLOOKUP(J210,Categories!$A$2:$C$41,3,FALSE()),"⚠ slug introuvable")</f>
        <v>Armoire murale</v>
      </c>
      <c r="M210" t="str">
        <f>IFERROR(VLOOKUP(K210,Categories!$A$2:$C$41,3,FALSE()),"⚠ slug introuvable")</f>
        <v>Dessus du réfrigérateur</v>
      </c>
      <c r="N210" t="str">
        <v>Armoire de cuisine du haut à 2 portes pour dessus de réfrigérateur</v>
      </c>
      <c r="O210" t="str">
        <f>CONCAT(N210," (",AA210,""" x ",AB210,""")")</f>
        <v>Armoire de cuisine du haut à 2 portes pour dessus de réfrigérateur (36.5" x 30")</v>
      </c>
      <c r="P210" t="str">
        <f>CONCAT("Dessus de réfrigérateur"," (",AA210,""" x ",AB210,""")")</f>
        <v>Dessus de réfrigérateur (36.5" x 30")</v>
      </c>
      <c r="Q210" s="1">
        <v>890</v>
      </c>
      <c r="R210" s="1">
        <f>Q210/11.25</f>
        <v>79.11111111111111</v>
      </c>
      <c r="S210" s="1">
        <f>R210*1.4</f>
        <v>110.75555555555556</v>
      </c>
      <c r="T210" s="1">
        <f>S210*1.1</f>
        <v>121.83111111111113</v>
      </c>
      <c r="U210" s="1">
        <f>T210*1.2</f>
        <v>146.19733333333335</v>
      </c>
      <c r="V210" s="1">
        <f>U210*1.2</f>
        <v>175.4368</v>
      </c>
      <c r="W210" s="1">
        <f>V210*1.1</f>
        <v>192.98048000000003</v>
      </c>
      <c r="X210" s="1">
        <f>W210</f>
        <v>192.98048000000003</v>
      </c>
      <c r="Y210" s="2">
        <v>0.4</v>
      </c>
      <c r="Z210" s="1">
        <f>X210*(1+Y210)</f>
        <v>270.17267200000003</v>
      </c>
      <c r="AA210">
        <v>36.5</v>
      </c>
      <c r="AB210">
        <v>30</v>
      </c>
      <c r="AC210">
        <v>27</v>
      </c>
      <c r="AD210">
        <v>2</v>
      </c>
      <c r="AE210">
        <v>0</v>
      </c>
      <c r="AF210" t="str">
        <v>Wall kitchen cabinet with 2 doors for above-fridge (36.5" x 30")</v>
      </c>
      <c r="AG210" t="str">
        <v>Above-fridge (36.5" x 30")</v>
      </c>
    </row>
    <row r="211" hidden="1">
      <c r="A211" t="str">
        <v>S8-W36.5X31.5X27</v>
      </c>
      <c r="E211" t="b">
        <f>IF(OR(B211=TRUE,C211=TRUE,D211=TRUE),FALSE,TRUE)</f>
        <v>1</v>
      </c>
      <c r="G211" t="str">
        <v>DOWRC36.5-31.5</v>
      </c>
      <c r="H211" t="str">
        <f>IF(ISNUMBER(SEARCH("muf",A211)),"Chêne blanc","Blanc")</f>
        <v>Blanc</v>
      </c>
      <c r="I211" t="str">
        <f>CONCAT(G211,IF(H211="","",IF(H211="Blanc","-CW","-WWO")))</f>
        <v>DOWRC36.5-31.5-CW</v>
      </c>
      <c r="J211" t="str">
        <v>wall-cabinet</v>
      </c>
      <c r="K211" t="str">
        <v>upper-refrigerator</v>
      </c>
      <c r="L211" t="str">
        <f>IFERROR(VLOOKUP(J211,Categories!$A$2:$C$41,3,FALSE()),"⚠ slug introuvable")</f>
        <v>Armoire murale</v>
      </c>
      <c r="M211" t="str">
        <f>IFERROR(VLOOKUP(K211,Categories!$A$2:$C$41,3,FALSE()),"⚠ slug introuvable")</f>
        <v>Dessus du réfrigérateur</v>
      </c>
      <c r="N211" t="str">
        <v>Armoire de cuisine du haut à 2 portes pour dessus de réfrigérateur</v>
      </c>
      <c r="O211" t="str">
        <f>CONCAT(N211," (",AA211,""" x ",AB211,""")")</f>
        <v>Armoire de cuisine du haut à 2 portes pour dessus de réfrigérateur (36.5" x 31.5")</v>
      </c>
      <c r="P211" t="str">
        <f>CONCAT("Dessus de réfrigérateur"," (",AA211,""" x ",AB211,""")")</f>
        <v>Dessus de réfrigérateur (36.5" x 31.5")</v>
      </c>
      <c r="Q211" s="1">
        <v>974</v>
      </c>
      <c r="R211" s="1">
        <f>Q211/11.25</f>
        <v>86.57777777777778</v>
      </c>
      <c r="S211" s="1">
        <f>R211*1.4</f>
        <v>121.2088888888889</v>
      </c>
      <c r="T211" s="1">
        <f>S211*1.1</f>
        <v>133.3297777777778</v>
      </c>
      <c r="U211" s="1">
        <f>T211*1.2</f>
        <v>159.99573333333333</v>
      </c>
      <c r="V211" s="1">
        <f>U211*1.2</f>
        <v>191.99488</v>
      </c>
      <c r="W211" s="1">
        <f>V211*1.1</f>
        <v>211.194368</v>
      </c>
      <c r="X211" s="1">
        <f>W211</f>
        <v>211.194368</v>
      </c>
      <c r="Y211" s="2">
        <v>0.4</v>
      </c>
      <c r="Z211" s="1">
        <f>X211*(1+Y211)</f>
        <v>295.67211519999995</v>
      </c>
      <c r="AA211">
        <v>36.5</v>
      </c>
      <c r="AB211">
        <v>31.5</v>
      </c>
      <c r="AC211">
        <v>27</v>
      </c>
      <c r="AD211">
        <v>2</v>
      </c>
      <c r="AE211">
        <v>0</v>
      </c>
      <c r="AF211" t="str">
        <v>Wall kitchen cabinet with 2 doors for above-fridge (36.5" x 31.5")</v>
      </c>
      <c r="AG211" t="str">
        <v>Above-fridge (36.5" x 31.5")</v>
      </c>
    </row>
    <row r="212" hidden="1">
      <c r="A212" t="str">
        <v>S8-W3612</v>
      </c>
      <c r="E212" t="b">
        <f>IF(OR(B212=TRUE,C212=TRUE,D212=TRUE),FALSE,TRUE)</f>
        <v>1</v>
      </c>
      <c r="G212" t="str">
        <v>DOWC3612</v>
      </c>
      <c r="H212" t="str">
        <f>IF(ISNUMBER(SEARCH("muf",A212)),"Chêne blanc","Blanc")</f>
        <v>Blanc</v>
      </c>
      <c r="I212" t="str">
        <f>CONCAT(G212,IF(H212="","",IF(H212="Blanc","-CW","-WWO")))</f>
        <v>DOWC3612-CW</v>
      </c>
      <c r="J212" t="str">
        <v>wall-cabinet</v>
      </c>
      <c r="K212" t="str">
        <v>standard</v>
      </c>
      <c r="L212" t="str">
        <f>IFERROR(VLOOKUP(J212,Categories!$A$2:$C$41,3,FALSE()),"⚠ slug introuvable")</f>
        <v>Armoire murale</v>
      </c>
      <c r="M212" t="str">
        <f>IFERROR(VLOOKUP(K212,Categories!$A$2:$C$41,3,FALSE()),"⚠ slug introuvable")</f>
        <v>Standard</v>
      </c>
      <c r="N212" t="str">
        <v>Armoire de cuisine du haut à 2 portes</v>
      </c>
      <c r="O212" t="str">
        <f>CONCAT(N212," (",AA212,""" x ",AB212,""")")</f>
        <v>Armoire de cuisine du haut à 2 portes (36" x 12")</v>
      </c>
      <c r="P212" t="str">
        <f>CONCAT("2 portes"," (",AA212,""" x ",AB212,""")")</f>
        <v>2 portes (36" x 12")</v>
      </c>
      <c r="Q212" s="1">
        <v>448</v>
      </c>
      <c r="R212" s="1">
        <f>Q212/11.25</f>
        <v>39.82222222222222</v>
      </c>
      <c r="S212" s="1">
        <f>R212*1.4</f>
        <v>55.75111111111111</v>
      </c>
      <c r="T212" s="1">
        <f>S212*1.1</f>
        <v>61.32622222222222</v>
      </c>
      <c r="U212" s="1">
        <f>T212*1.2</f>
        <v>73.59146666666666</v>
      </c>
      <c r="V212" s="1">
        <f>U212*1.2</f>
        <v>88.30976</v>
      </c>
      <c r="W212" s="1">
        <f>V212*1.1</f>
        <v>97.140736</v>
      </c>
      <c r="X212" s="1">
        <f>W212</f>
        <v>97.140736</v>
      </c>
      <c r="Y212" s="2">
        <v>0.4</v>
      </c>
      <c r="Z212" s="1">
        <f>X212*(1+Y212)</f>
        <v>135.9970304</v>
      </c>
      <c r="AA212">
        <v>36</v>
      </c>
      <c r="AB212">
        <v>12</v>
      </c>
      <c r="AC212">
        <v>12</v>
      </c>
      <c r="AD212">
        <v>2</v>
      </c>
      <c r="AE212">
        <v>0</v>
      </c>
      <c r="AF212" t="str">
        <v>Wall kitchen cabinet with 2 doors (36" x 12")</v>
      </c>
      <c r="AG212" t="str">
        <v>2 doors (36" x 12")</v>
      </c>
    </row>
    <row r="213" hidden="1">
      <c r="A213" t="str">
        <v>S8-W3618</v>
      </c>
      <c r="E213" t="b">
        <f>IF(OR(B213=TRUE,C213=TRUE,D213=TRUE),FALSE,TRUE)</f>
        <v>1</v>
      </c>
      <c r="G213" t="str">
        <v>DOWC3618</v>
      </c>
      <c r="H213" t="str">
        <f>IF(ISNUMBER(SEARCH("muf",A213)),"Chêne blanc","Blanc")</f>
        <v>Blanc</v>
      </c>
      <c r="I213" t="str">
        <f>CONCAT(G213,IF(H213="","",IF(H213="Blanc","-CW","-WWO")))</f>
        <v>DOWC3618-CW</v>
      </c>
      <c r="J213" t="str">
        <v>wall-cabinet</v>
      </c>
      <c r="K213" t="str">
        <v>standard</v>
      </c>
      <c r="L213" t="str">
        <f>IFERROR(VLOOKUP(J213,Categories!$A$2:$C$41,3,FALSE()),"⚠ slug introuvable")</f>
        <v>Armoire murale</v>
      </c>
      <c r="M213" t="str">
        <f>IFERROR(VLOOKUP(K213,Categories!$A$2:$C$41,3,FALSE()),"⚠ slug introuvable")</f>
        <v>Standard</v>
      </c>
      <c r="N213" t="str">
        <v>Armoire de cuisine du haut à 2 portes</v>
      </c>
      <c r="O213" t="str">
        <f>CONCAT(N213," (",AA213,""" x ",AB213,""")")</f>
        <v>Armoire de cuisine du haut à 2 portes (36" x 18")</v>
      </c>
      <c r="P213" t="str">
        <f>CONCAT("2 portes"," (",AA213,""" x ",AB213,""")")</f>
        <v>2 portes (36" x 18")</v>
      </c>
      <c r="Q213" s="1">
        <v>499</v>
      </c>
      <c r="R213" s="1">
        <f>Q213/11.25</f>
        <v>44.355555555555554</v>
      </c>
      <c r="S213" s="1">
        <f>R213*1.4</f>
        <v>62.09777777777777</v>
      </c>
      <c r="T213" s="1">
        <f>S213*1.1</f>
        <v>68.30755555555555</v>
      </c>
      <c r="U213" s="1">
        <f>T213*1.2</f>
        <v>81.96906666666666</v>
      </c>
      <c r="V213" s="1">
        <f>U213*1.2</f>
        <v>98.36287999999999</v>
      </c>
      <c r="W213" s="1">
        <f>V213*1.1</f>
        <v>108.199168</v>
      </c>
      <c r="X213" s="1">
        <f>W213</f>
        <v>108.199168</v>
      </c>
      <c r="Y213" s="2">
        <v>0.4</v>
      </c>
      <c r="Z213" s="1">
        <f>X213*(1+Y213)</f>
        <v>151.4788352</v>
      </c>
      <c r="AA213">
        <v>36</v>
      </c>
      <c r="AB213">
        <v>18</v>
      </c>
      <c r="AC213">
        <v>12</v>
      </c>
      <c r="AD213">
        <v>2</v>
      </c>
      <c r="AE213">
        <v>0</v>
      </c>
      <c r="AF213" t="str">
        <v>Wall kitchen cabinet with 2 doors (36" x 18")</v>
      </c>
      <c r="AG213" t="str">
        <v>2 doors (36" x 18")</v>
      </c>
    </row>
    <row r="214" hidden="1">
      <c r="A214" t="str">
        <v>S8-W3624</v>
      </c>
      <c r="E214" t="b">
        <f>IF(OR(B214=TRUE,C214=TRUE,D214=TRUE),FALSE,TRUE)</f>
        <v>1</v>
      </c>
      <c r="G214" t="str">
        <v>DOWC3624</v>
      </c>
      <c r="H214" t="str">
        <f>IF(ISNUMBER(SEARCH("muf",A214)),"Chêne blanc","Blanc")</f>
        <v>Blanc</v>
      </c>
      <c r="I214" t="str">
        <f>CONCAT(G214,IF(H214="","",IF(H214="Blanc","-CW","-WWO")))</f>
        <v>DOWC3624-CW</v>
      </c>
      <c r="J214" t="str">
        <v>wall-cabinet</v>
      </c>
      <c r="K214" t="str">
        <v>standard</v>
      </c>
      <c r="L214" t="str">
        <f>IFERROR(VLOOKUP(J214,Categories!$A$2:$C$41,3,FALSE()),"⚠ slug introuvable")</f>
        <v>Armoire murale</v>
      </c>
      <c r="M214" t="str">
        <f>IFERROR(VLOOKUP(K214,Categories!$A$2:$C$41,3,FALSE()),"⚠ slug introuvable")</f>
        <v>Standard</v>
      </c>
      <c r="N214" t="str">
        <v>Armoire de cuisine du haut à 2 portes</v>
      </c>
      <c r="O214" t="str">
        <f>CONCAT(N214," (",AA214,""" x ",AB214,""")")</f>
        <v>Armoire de cuisine du haut à 2 portes (36" x 24")</v>
      </c>
      <c r="P214" t="str">
        <f>CONCAT("2 portes"," (",AA214,""" x ",AB214,""")")</f>
        <v>2 portes (36" x 24")</v>
      </c>
      <c r="Q214" s="1">
        <v>602</v>
      </c>
      <c r="R214" s="1">
        <f>Q214/11.25</f>
        <v>53.51111111111111</v>
      </c>
      <c r="S214" s="1">
        <f>R214*1.4</f>
        <v>74.91555555555556</v>
      </c>
      <c r="T214" s="1">
        <f>S214*1.1</f>
        <v>82.40711111111112</v>
      </c>
      <c r="U214" s="1">
        <f>T214*1.2</f>
        <v>98.88853333333334</v>
      </c>
      <c r="V214" s="1">
        <f>U214*1.2</f>
        <v>118.66624</v>
      </c>
      <c r="W214" s="1">
        <f>V214*1.1</f>
        <v>130.53286400000002</v>
      </c>
      <c r="X214" s="1">
        <f>W214</f>
        <v>130.53286400000002</v>
      </c>
      <c r="Y214" s="2">
        <v>0.4</v>
      </c>
      <c r="Z214" s="1">
        <f>X214*(1+Y214)</f>
        <v>182.7460096</v>
      </c>
      <c r="AA214">
        <v>36</v>
      </c>
      <c r="AB214">
        <v>24</v>
      </c>
      <c r="AC214">
        <v>12</v>
      </c>
      <c r="AD214">
        <v>2</v>
      </c>
      <c r="AE214">
        <v>0</v>
      </c>
      <c r="AF214" t="str">
        <v>Wall kitchen cabinet with 2 doors (36" x 24")</v>
      </c>
      <c r="AG214" t="str">
        <v>2 doors (36" x 24")</v>
      </c>
    </row>
    <row r="215" hidden="1">
      <c r="A215" t="str">
        <v>S8-W3630</v>
      </c>
      <c r="E215" t="b">
        <f>IF(OR(B215=TRUE,C215=TRUE,D215=TRUE),FALSE,TRUE)</f>
        <v>1</v>
      </c>
      <c r="G215" t="str">
        <v>DOWC3630</v>
      </c>
      <c r="H215" t="str">
        <f>IF(ISNUMBER(SEARCH("muf",A215)),"Chêne blanc","Blanc")</f>
        <v>Blanc</v>
      </c>
      <c r="I215" t="str">
        <f>CONCAT(G215,IF(H215="","",IF(H215="Blanc","-CW","-WWO")))</f>
        <v>DOWC3630-CW</v>
      </c>
      <c r="J215" t="str">
        <v>wall-cabinet</v>
      </c>
      <c r="K215" t="str">
        <v>standard</v>
      </c>
      <c r="L215" t="str">
        <f>IFERROR(VLOOKUP(J215,Categories!$A$2:$C$41,3,FALSE()),"⚠ slug introuvable")</f>
        <v>Armoire murale</v>
      </c>
      <c r="M215" t="str">
        <f>IFERROR(VLOOKUP(K215,Categories!$A$2:$C$41,3,FALSE()),"⚠ slug introuvable")</f>
        <v>Standard</v>
      </c>
      <c r="N215" t="str">
        <v>Armoire de cuisine du haut à 2 portes</v>
      </c>
      <c r="O215" t="str">
        <f>CONCAT(N215," (",AA215,""" x ",AB215,""")")</f>
        <v>Armoire de cuisine du haut à 2 portes (36" x 30")</v>
      </c>
      <c r="P215" t="str">
        <f>CONCAT("2 portes"," (",AA215,""" x ",AB215,""")")</f>
        <v>2 portes (36" x 30")</v>
      </c>
      <c r="Q215" s="1">
        <v>752</v>
      </c>
      <c r="R215" s="1">
        <f>Q215/11.25</f>
        <v>66.84444444444445</v>
      </c>
      <c r="S215" s="1">
        <f>R215*1.4</f>
        <v>93.58222222222223</v>
      </c>
      <c r="T215" s="1">
        <f>S215*1.1</f>
        <v>102.94044444444445</v>
      </c>
      <c r="U215" s="1">
        <f>T215*1.2</f>
        <v>123.52853333333334</v>
      </c>
      <c r="V215" s="1">
        <f>U215*1.2</f>
        <v>148.23424</v>
      </c>
      <c r="W215" s="1">
        <f>V215*1.1</f>
        <v>163.05766400000002</v>
      </c>
      <c r="X215" s="1">
        <f>W215</f>
        <v>163.05766400000002</v>
      </c>
      <c r="Y215" s="2">
        <v>0.4</v>
      </c>
      <c r="Z215" s="1">
        <f>X215*(1+Y215)</f>
        <v>228.2807296</v>
      </c>
      <c r="AA215">
        <v>36</v>
      </c>
      <c r="AB215">
        <v>30</v>
      </c>
      <c r="AC215">
        <v>12</v>
      </c>
      <c r="AD215">
        <v>2</v>
      </c>
      <c r="AE215">
        <v>0</v>
      </c>
      <c r="AF215" t="str">
        <v>Wall kitchen cabinet with 2 doors (36" x 30")</v>
      </c>
      <c r="AG215" t="str">
        <v>2 doors (36" x 30")</v>
      </c>
    </row>
    <row r="216" hidden="1">
      <c r="A216" t="str">
        <v>S8-W3636</v>
      </c>
      <c r="E216" t="b">
        <f>IF(OR(B216=TRUE,C216=TRUE,D216=TRUE),FALSE,TRUE)</f>
        <v>1</v>
      </c>
      <c r="G216" t="str">
        <v>DOWC3636</v>
      </c>
      <c r="H216" t="str">
        <f>IF(ISNUMBER(SEARCH("muf",A216)),"Chêne blanc","Blanc")</f>
        <v>Blanc</v>
      </c>
      <c r="I216" t="str">
        <f>CONCAT(G216,IF(H216="","",IF(H216="Blanc","-CW","-WWO")))</f>
        <v>DOWC3636-CW</v>
      </c>
      <c r="J216" t="str">
        <v>wall-cabinet</v>
      </c>
      <c r="K216" t="str">
        <v>standard</v>
      </c>
      <c r="L216" t="str">
        <f>IFERROR(VLOOKUP(J216,Categories!$A$2:$C$41,3,FALSE()),"⚠ slug introuvable")</f>
        <v>Armoire murale</v>
      </c>
      <c r="M216" t="str">
        <f>IFERROR(VLOOKUP(K216,Categories!$A$2:$C$41,3,FALSE()),"⚠ slug introuvable")</f>
        <v>Standard</v>
      </c>
      <c r="N216" t="str">
        <v>Armoire de cuisine du haut à 2 portes</v>
      </c>
      <c r="O216" t="str">
        <f>CONCAT(N216," (",AA216,""" x ",AB216,""")")</f>
        <v>Armoire de cuisine du haut à 2 portes (36" x 36")</v>
      </c>
      <c r="P216" t="str">
        <f>CONCAT("2 portes"," (",AA216,""" x ",AB216,""")")</f>
        <v>2 portes (36" x 36")</v>
      </c>
      <c r="Q216" s="1">
        <v>853</v>
      </c>
      <c r="R216" s="1">
        <f>Q216/11.25</f>
        <v>75.82222222222222</v>
      </c>
      <c r="S216" s="1">
        <f>R216*1.4</f>
        <v>106.1511111111111</v>
      </c>
      <c r="T216" s="1">
        <f>S216*1.1</f>
        <v>116.76622222222223</v>
      </c>
      <c r="U216" s="1">
        <f>T216*1.2</f>
        <v>140.11946666666665</v>
      </c>
      <c r="V216" s="1">
        <f>U216*1.2</f>
        <v>168.14335999999997</v>
      </c>
      <c r="W216" s="1">
        <f>V216*1.1</f>
        <v>184.957696</v>
      </c>
      <c r="X216" s="1">
        <f>W216</f>
        <v>184.957696</v>
      </c>
      <c r="Y216" s="2">
        <v>0.4</v>
      </c>
      <c r="Z216" s="1">
        <f>X216*(1+Y216)</f>
        <v>258.9407744</v>
      </c>
      <c r="AA216">
        <v>36</v>
      </c>
      <c r="AB216">
        <v>36</v>
      </c>
      <c r="AC216">
        <v>12</v>
      </c>
      <c r="AD216">
        <v>2</v>
      </c>
      <c r="AE216">
        <v>0</v>
      </c>
      <c r="AF216" t="str">
        <v>Wall kitchen cabinet with 2 doors (36" x 36")</v>
      </c>
      <c r="AG216" t="str">
        <v>2 doors (36" x 36")</v>
      </c>
    </row>
    <row r="217" hidden="1">
      <c r="A217" t="str">
        <v>S8-W3636-Door</v>
      </c>
      <c r="B217" t="b">
        <v>1</v>
      </c>
      <c r="E217" t="b">
        <f>IF(OR(B217=TRUE,C217=TRUE,D217=TRUE),FALSE,TRUE)</f>
        <v>0</v>
      </c>
      <c r="H217" t="str">
        <f>IF(ISNUMBER(SEARCH("muf",A217)),"Chêne blanc","Blanc")</f>
        <v>Blanc</v>
      </c>
      <c r="I217" t="str">
        <f>CONCAT(G217,IF(H217="","",IF(H217="Blanc","-CW","-WWO")))</f>
        <v>-CW</v>
      </c>
      <c r="K217" t="str">
        <v>wall-cabinet-standard</v>
      </c>
      <c r="M217" t="str">
        <f>IFERROR(VLOOKUP(K217,Categories!$A$2:$C$41,3,FALSE()),"⚠ slug introuvable")</f>
        <v>⚠ slug introuvable</v>
      </c>
      <c r="N217" t="str">
        <v>W3636-Door</v>
      </c>
      <c r="R217" s="1">
        <f>Q217/11.25</f>
        <v>0</v>
      </c>
      <c r="S217" s="1">
        <f>R217*1.4</f>
        <v>0</v>
      </c>
      <c r="T217" s="1">
        <f>S217*1.1</f>
        <v>0</v>
      </c>
      <c r="U217" s="1">
        <f>T217*1.2</f>
        <v>0</v>
      </c>
      <c r="V217" s="1">
        <f>U217*1.2</f>
        <v>0</v>
      </c>
      <c r="W217" s="1">
        <f>V217*1.1</f>
        <v>0</v>
      </c>
      <c r="X217" s="1">
        <f>W217</f>
        <v>0</v>
      </c>
      <c r="Y217" s="2">
        <v>0.4</v>
      </c>
      <c r="Z217" s="1">
        <f>X217*(1+Y217)</f>
        <v>0</v>
      </c>
      <c r="AA217">
        <v>36</v>
      </c>
      <c r="AB217">
        <v>36</v>
      </c>
      <c r="AC217">
        <v>12</v>
      </c>
      <c r="AD217">
        <v>2</v>
      </c>
      <c r="AE217">
        <v>0</v>
      </c>
    </row>
    <row r="218" hidden="1">
      <c r="A218" t="str">
        <v>S8-W3642</v>
      </c>
      <c r="E218" t="b">
        <f>IF(OR(B218=TRUE,C218=TRUE,D218=TRUE),FALSE,TRUE)</f>
        <v>1</v>
      </c>
      <c r="G218" t="str">
        <v>DOWC3642</v>
      </c>
      <c r="H218" t="str">
        <f>IF(ISNUMBER(SEARCH("muf",A218)),"Chêne blanc","Blanc")</f>
        <v>Blanc</v>
      </c>
      <c r="I218" t="str">
        <f>CONCAT(G218,IF(H218="","",IF(H218="Blanc","-CW","-WWO")))</f>
        <v>DOWC3642-CW</v>
      </c>
      <c r="J218" t="str">
        <v>wall-cabinet</v>
      </c>
      <c r="K218" t="str">
        <v>standard</v>
      </c>
      <c r="L218" t="str">
        <f>IFERROR(VLOOKUP(J218,Categories!$A$2:$C$41,3,FALSE()),"⚠ slug introuvable")</f>
        <v>Armoire murale</v>
      </c>
      <c r="M218" t="str">
        <f>IFERROR(VLOOKUP(K218,Categories!$A$2:$C$41,3,FALSE()),"⚠ slug introuvable")</f>
        <v>Standard</v>
      </c>
      <c r="N218" t="str">
        <v>Armoire de cuisine du haut à 2 portes</v>
      </c>
      <c r="O218" t="str">
        <f>CONCAT(N218," (",AA218,""" x ",AB218,""")")</f>
        <v>Armoire de cuisine du haut à 2 portes (36" x 42")</v>
      </c>
      <c r="P218" t="str">
        <f>CONCAT("2 portes"," (",AA218,""" x ",AB218,""")")</f>
        <v>2 portes (36" x 42")</v>
      </c>
      <c r="Q218" s="1">
        <v>986</v>
      </c>
      <c r="R218" s="1">
        <f>Q218/11.25</f>
        <v>87.64444444444445</v>
      </c>
      <c r="S218" s="1">
        <f>R218*1.4</f>
        <v>122.70222222222222</v>
      </c>
      <c r="T218" s="1">
        <f>S218*1.1</f>
        <v>134.97244444444445</v>
      </c>
      <c r="U218" s="1">
        <f>T218*1.2</f>
        <v>161.96693333333334</v>
      </c>
      <c r="V218" s="1">
        <f>U218*1.2</f>
        <v>194.36032</v>
      </c>
      <c r="W218" s="1">
        <f>V218*1.1</f>
        <v>213.796352</v>
      </c>
      <c r="X218" s="1">
        <f>W218</f>
        <v>213.796352</v>
      </c>
      <c r="Y218" s="2">
        <v>0.4</v>
      </c>
      <c r="Z218" s="1">
        <f>X218*(1+Y218)</f>
        <v>299.3148928</v>
      </c>
      <c r="AA218">
        <v>36</v>
      </c>
      <c r="AB218">
        <v>42</v>
      </c>
      <c r="AC218">
        <v>12</v>
      </c>
      <c r="AD218">
        <v>2</v>
      </c>
      <c r="AE218">
        <v>0</v>
      </c>
      <c r="AF218" t="str">
        <v>Wall kitchen cabinet with 2 doors (36" x 42")</v>
      </c>
      <c r="AG218" t="str">
        <v>2 doors (36" x 42")</v>
      </c>
    </row>
    <row r="219" hidden="1">
      <c r="A219" t="str">
        <v>S8-W3648</v>
      </c>
      <c r="E219" t="b">
        <f>IF(OR(B219=TRUE,C219=TRUE,D219=TRUE),FALSE,TRUE)</f>
        <v>1</v>
      </c>
      <c r="G219" t="str">
        <v>DOWC3648</v>
      </c>
      <c r="H219" t="str">
        <f>IF(ISNUMBER(SEARCH("muf",A219)),"Chêne blanc","Blanc")</f>
        <v>Blanc</v>
      </c>
      <c r="I219" t="str">
        <f>CONCAT(G219,IF(H219="","",IF(H219="Blanc","-CW","-WWO")))</f>
        <v>DOWC3648-CW</v>
      </c>
      <c r="J219" t="str">
        <v>wall-cabinet</v>
      </c>
      <c r="K219" t="str">
        <v>standard</v>
      </c>
      <c r="L219" t="str">
        <f>IFERROR(VLOOKUP(J219,Categories!$A$2:$C$41,3,FALSE()),"⚠ slug introuvable")</f>
        <v>Armoire murale</v>
      </c>
      <c r="M219" t="str">
        <f>IFERROR(VLOOKUP(K219,Categories!$A$2:$C$41,3,FALSE()),"⚠ slug introuvable")</f>
        <v>Standard</v>
      </c>
      <c r="N219" t="str">
        <v>Armoire de cuisine du haut à 2 portes</v>
      </c>
      <c r="O219" t="str">
        <f>CONCAT(N219," (",AA219,""" x ",AB219,""")")</f>
        <v>Armoire de cuisine du haut à 2 portes (36" x 48")</v>
      </c>
      <c r="P219" t="str">
        <f>CONCAT("2 portes"," (",AA219,""" x ",AB219,""")")</f>
        <v>2 portes (36" x 48")</v>
      </c>
      <c r="Q219" s="1">
        <v>1578</v>
      </c>
      <c r="R219" s="1">
        <f>Q219/11.25</f>
        <v>140.26666666666668</v>
      </c>
      <c r="S219" s="1">
        <f>R219*1.4</f>
        <v>196.37333333333333</v>
      </c>
      <c r="T219" s="1">
        <f>S219*1.1</f>
        <v>216.01066666666668</v>
      </c>
      <c r="U219" s="1">
        <f>T219*1.2</f>
        <v>259.2128</v>
      </c>
      <c r="V219" s="1">
        <f>U219*1.2</f>
        <v>311.05536</v>
      </c>
      <c r="W219" s="1">
        <f>V219*1.1</f>
        <v>342.16089600000004</v>
      </c>
      <c r="X219" s="1">
        <f>W219</f>
        <v>342.16089600000004</v>
      </c>
      <c r="Y219" s="2">
        <v>0.4</v>
      </c>
      <c r="Z219" s="1">
        <f>X219*(1+Y219)</f>
        <v>479.0252544</v>
      </c>
      <c r="AA219">
        <v>36</v>
      </c>
      <c r="AB219">
        <v>48</v>
      </c>
      <c r="AC219">
        <v>12</v>
      </c>
      <c r="AD219">
        <v>2</v>
      </c>
      <c r="AE219">
        <v>0</v>
      </c>
      <c r="AF219" t="str">
        <v>Wall kitchen cabinet with 2 doors (36" x 48")</v>
      </c>
      <c r="AG219" t="str">
        <v>2 doors (36" x 48")</v>
      </c>
    </row>
    <row r="220" hidden="1">
      <c r="A220" t="str">
        <v>S8-W3648</v>
      </c>
      <c r="C220" t="b">
        <v>1</v>
      </c>
      <c r="E220" t="b">
        <f>IF(OR(B220=TRUE,C220=TRUE,D220=TRUE),FALSE,TRUE)</f>
        <v>0</v>
      </c>
      <c r="F220" t="str">
        <v>chene blanc pour wall ?</v>
      </c>
      <c r="H220" t="str">
        <f>IF(ISNUMBER(SEARCH("muf",A220)),"Chêne blanc","Blanc")</f>
        <v>Blanc</v>
      </c>
    </row>
    <row r="221" hidden="1">
      <c r="A221" t="str">
        <v>S8-W36X19.5</v>
      </c>
      <c r="E221" t="b">
        <f>IF(OR(B221=TRUE,C221=TRUE,D221=TRUE),FALSE,TRUE)</f>
        <v>1</v>
      </c>
      <c r="G221" t="str">
        <v>DOWC36-19.5</v>
      </c>
      <c r="H221" t="str">
        <f>IF(ISNUMBER(SEARCH("muf",A221)),"Chêne blanc","Blanc")</f>
        <v>Blanc</v>
      </c>
      <c r="I221" t="str">
        <f>CONCAT(G221,IF(H221="","",IF(H221="Blanc","-CW","-WWO")))</f>
        <v>DOWC36-19.5-CW</v>
      </c>
      <c r="J221" t="str">
        <v>wall-cabinet</v>
      </c>
      <c r="K221" t="str">
        <v>standard</v>
      </c>
      <c r="L221" t="str">
        <f>IFERROR(VLOOKUP(J221,Categories!$A$2:$C$41,3,FALSE()),"⚠ slug introuvable")</f>
        <v>Armoire murale</v>
      </c>
      <c r="M221" t="str">
        <f>IFERROR(VLOOKUP(K221,Categories!$A$2:$C$41,3,FALSE()),"⚠ slug introuvable")</f>
        <v>Standard</v>
      </c>
      <c r="N221" t="str">
        <v>Armoire de cuisine du haut à 2 portes</v>
      </c>
      <c r="O221" t="str">
        <f>CONCAT(N221," (",AA221,""" x ",AB221,""")")</f>
        <v>Armoire de cuisine du haut à 2 portes (36" x 19.5")</v>
      </c>
      <c r="P221" t="str">
        <f>CONCAT("2 portes"," (",AA221,""" x ",AB221,""")")</f>
        <v>2 portes (36" x 19.5")</v>
      </c>
      <c r="Q221" s="1">
        <v>555</v>
      </c>
      <c r="R221" s="1">
        <f>Q221/11.25</f>
        <v>49.333333333333336</v>
      </c>
      <c r="S221" s="1">
        <f>R221*1.4</f>
        <v>69.06666666666666</v>
      </c>
      <c r="T221" s="1">
        <f>S221*1.1</f>
        <v>75.97333333333333</v>
      </c>
      <c r="U221" s="1">
        <f>T221*1.2</f>
        <v>91.16799999999999</v>
      </c>
      <c r="V221" s="1">
        <f>U221*1.2</f>
        <v>109.40159999999999</v>
      </c>
      <c r="W221" s="1">
        <f>V221*1.1</f>
        <v>120.34176</v>
      </c>
      <c r="X221" s="1">
        <f>W221</f>
        <v>120.34176</v>
      </c>
      <c r="Y221" s="2">
        <v>0.4</v>
      </c>
      <c r="Z221" s="1">
        <f>X221*(1+Y221)</f>
        <v>168.47846399999997</v>
      </c>
      <c r="AA221">
        <v>36</v>
      </c>
      <c r="AB221">
        <v>19.5</v>
      </c>
      <c r="AC221">
        <v>12</v>
      </c>
      <c r="AD221">
        <v>2</v>
      </c>
      <c r="AE221">
        <v>0</v>
      </c>
      <c r="AF221" t="str">
        <v>Wall kitchen cabinet with 2 doors (36" x 19.5")</v>
      </c>
      <c r="AG221" t="str">
        <v>2 doors (36" x 19.5")</v>
      </c>
    </row>
    <row r="222" hidden="1">
      <c r="A222" t="str">
        <v>S8-W3930</v>
      </c>
      <c r="E222" t="b">
        <f>IF(OR(B222=TRUE,C222=TRUE,D222=TRUE),FALSE,TRUE)</f>
        <v>1</v>
      </c>
      <c r="G222" t="str">
        <v>DOWC3930</v>
      </c>
      <c r="H222" t="str">
        <f>IF(ISNUMBER(SEARCH("muf",A222)),"Chêne blanc","Blanc")</f>
        <v>Blanc</v>
      </c>
      <c r="I222" t="str">
        <f>CONCAT(G222,IF(H222="","",IF(H222="Blanc","-CW","-WWO")))</f>
        <v>DOWC3930-CW</v>
      </c>
      <c r="J222" t="str">
        <v>wall-cabinet</v>
      </c>
      <c r="K222" t="str">
        <v>standard</v>
      </c>
      <c r="L222" t="str">
        <f>IFERROR(VLOOKUP(J222,Categories!$A$2:$C$41,3,FALSE()),"⚠ slug introuvable")</f>
        <v>Armoire murale</v>
      </c>
      <c r="M222" t="str">
        <f>IFERROR(VLOOKUP(K222,Categories!$A$2:$C$41,3,FALSE()),"⚠ slug introuvable")</f>
        <v>Standard</v>
      </c>
      <c r="N222" t="str">
        <v>Armoire de cuisine du haut à 2 portes</v>
      </c>
      <c r="O222" t="str">
        <f>CONCAT(N222," (",AA222,""" x ",AB222,""")")</f>
        <v>Armoire de cuisine du haut à 2 portes (39" x 30")</v>
      </c>
      <c r="P222" t="str">
        <f>CONCAT("2 portes"," (",AA222,""" x ",AB222,""")")</f>
        <v>2 portes (39" x 30")</v>
      </c>
      <c r="Q222" s="1">
        <v>990.97</v>
      </c>
      <c r="R222" s="1">
        <f>Q222/11.25</f>
        <v>88.08622222222222</v>
      </c>
      <c r="S222" s="1">
        <f>R222*1.4</f>
        <v>123.3207111111111</v>
      </c>
      <c r="T222" s="1">
        <f>S222*1.1</f>
        <v>135.6527822222222</v>
      </c>
      <c r="U222" s="1">
        <f>T222*1.2</f>
        <v>162.78333866666665</v>
      </c>
      <c r="V222" s="1">
        <f>U222*1.2</f>
        <v>195.34000639999996</v>
      </c>
      <c r="W222" s="1">
        <f>V222*1.1</f>
        <v>214.87400703999998</v>
      </c>
      <c r="X222" s="1">
        <f>W222</f>
        <v>214.87400703999998</v>
      </c>
      <c r="Y222" s="2">
        <v>0.4</v>
      </c>
      <c r="Z222" s="1">
        <f>X222*(1+Y222)</f>
        <v>300.82360985599996</v>
      </c>
      <c r="AA222">
        <v>39</v>
      </c>
      <c r="AB222">
        <v>30</v>
      </c>
      <c r="AC222">
        <v>12</v>
      </c>
      <c r="AD222">
        <v>2</v>
      </c>
      <c r="AE222">
        <v>0</v>
      </c>
      <c r="AF222" t="str">
        <v>Wall kitchen cabinet with 2 doors (39" x 30")</v>
      </c>
      <c r="AG222" t="str">
        <v>2 doors (39" x 30")</v>
      </c>
    </row>
    <row r="223" hidden="1">
      <c r="A223" t="str">
        <v>S8-W3936</v>
      </c>
      <c r="E223" t="b">
        <f>IF(OR(B223=TRUE,C223=TRUE,D223=TRUE),FALSE,TRUE)</f>
        <v>1</v>
      </c>
      <c r="G223" t="str">
        <v>DOWC3936</v>
      </c>
      <c r="H223" t="str">
        <f>IF(ISNUMBER(SEARCH("muf",A223)),"Chêne blanc","Blanc")</f>
        <v>Blanc</v>
      </c>
      <c r="I223" t="str">
        <f>CONCAT(G223,IF(H223="","",IF(H223="Blanc","-CW","-WWO")))</f>
        <v>DOWC3936-CW</v>
      </c>
      <c r="J223" t="str">
        <v>wall-cabinet</v>
      </c>
      <c r="K223" t="str">
        <v>standard</v>
      </c>
      <c r="L223" t="str">
        <f>IFERROR(VLOOKUP(J223,Categories!$A$2:$C$41,3,FALSE()),"⚠ slug introuvable")</f>
        <v>Armoire murale</v>
      </c>
      <c r="M223" t="str">
        <f>IFERROR(VLOOKUP(K223,Categories!$A$2:$C$41,3,FALSE()),"⚠ slug introuvable")</f>
        <v>Standard</v>
      </c>
      <c r="N223" t="str">
        <v>Armoire de cuisine du haut à 2 portes</v>
      </c>
      <c r="O223" t="str">
        <f>CONCAT(N223," (",AA223,""" x ",AB223,""")")</f>
        <v>Armoire de cuisine du haut à 2 portes (39" x 36")</v>
      </c>
      <c r="P223" t="str">
        <f>CONCAT("2 portes"," (",AA223,""" x ",AB223,""")")</f>
        <v>2 portes (39" x 36")</v>
      </c>
      <c r="Q223" s="1">
        <v>949</v>
      </c>
      <c r="R223" s="1">
        <f>Q223/11.25</f>
        <v>84.35555555555555</v>
      </c>
      <c r="S223" s="1">
        <f>R223*1.4</f>
        <v>118.09777777777776</v>
      </c>
      <c r="T223" s="1">
        <f>S223*1.1</f>
        <v>129.90755555555555</v>
      </c>
      <c r="U223" s="1">
        <f>T223*1.2</f>
        <v>155.88906666666665</v>
      </c>
      <c r="V223" s="1">
        <f>U223*1.2</f>
        <v>187.06687999999997</v>
      </c>
      <c r="W223" s="1">
        <f>V223*1.1</f>
        <v>205.77356799999998</v>
      </c>
      <c r="X223" s="1">
        <f>W223</f>
        <v>205.77356799999998</v>
      </c>
      <c r="Y223" s="2">
        <v>0.4</v>
      </c>
      <c r="Z223" s="1">
        <f>X223*(1+Y223)</f>
        <v>288.08299519999997</v>
      </c>
      <c r="AA223">
        <v>39</v>
      </c>
      <c r="AB223">
        <v>36</v>
      </c>
      <c r="AC223">
        <v>12</v>
      </c>
      <c r="AD223">
        <v>2</v>
      </c>
      <c r="AE223">
        <v>0</v>
      </c>
      <c r="AF223" t="str">
        <v>Wall kitchen cabinet with 2 doors (39" x 36")</v>
      </c>
      <c r="AG223" t="str">
        <v>2 doors (39" x 36")</v>
      </c>
    </row>
    <row r="224" hidden="1">
      <c r="A224" t="str">
        <v>S8-W39X20X27</v>
      </c>
      <c r="E224" t="b">
        <f>IF(OR(B224=TRUE,C224=TRUE,D224=TRUE),FALSE,TRUE)</f>
        <v>1</v>
      </c>
      <c r="G224" t="str">
        <v>DOWRC3920</v>
      </c>
      <c r="H224" t="str">
        <f>IF(ISNUMBER(SEARCH("muf",A224)),"Chêne blanc","Blanc")</f>
        <v>Blanc</v>
      </c>
      <c r="I224" t="str">
        <f>CONCAT(G224,IF(H224="","",IF(H224="Blanc","-CW","-WWO")))</f>
        <v>DOWRC3920-CW</v>
      </c>
      <c r="J224" t="str">
        <v>wall-cabinet</v>
      </c>
      <c r="K224" t="str">
        <v>upper-refrigerator</v>
      </c>
      <c r="L224" t="str">
        <f>IFERROR(VLOOKUP(J224,Categories!$A$2:$C$41,3,FALSE()),"⚠ slug introuvable")</f>
        <v>Armoire murale</v>
      </c>
      <c r="M224" t="str">
        <f>IFERROR(VLOOKUP(K224,Categories!$A$2:$C$41,3,FALSE()),"⚠ slug introuvable")</f>
        <v>Dessus du réfrigérateur</v>
      </c>
      <c r="N224" t="str">
        <v>Armoire de cuisine du haut à 2 portes pour dessus de réfrigérateur</v>
      </c>
      <c r="O224" t="str">
        <f>CONCAT(N224," (",AA224,""" x ",AB224,""")")</f>
        <v>Armoire de cuisine du haut à 2 portes pour dessus de réfrigérateur (39" x 20")</v>
      </c>
      <c r="P224" t="str">
        <f>CONCAT("Dessus de réfrigérateur"," (",AA224,""" x ",AB224,""")")</f>
        <v>Dessus de réfrigérateur (39" x 20")</v>
      </c>
      <c r="Q224" s="1">
        <v>702</v>
      </c>
      <c r="R224" s="1">
        <f>Q224/11.25</f>
        <v>62.4</v>
      </c>
      <c r="S224" s="1">
        <f>R224*1.4</f>
        <v>87.36</v>
      </c>
      <c r="T224" s="1">
        <f>S224*1.1</f>
        <v>96.096</v>
      </c>
      <c r="U224" s="1">
        <f>T224*1.2</f>
        <v>115.3152</v>
      </c>
      <c r="V224" s="1">
        <f>U224*1.2</f>
        <v>138.37824</v>
      </c>
      <c r="W224" s="1">
        <f>V224*1.1</f>
        <v>152.21606400000002</v>
      </c>
      <c r="X224" s="1">
        <f>W224</f>
        <v>152.21606400000002</v>
      </c>
      <c r="Y224" s="2">
        <v>0.4</v>
      </c>
      <c r="Z224" s="1">
        <f>X224*(1+Y224)</f>
        <v>213.1024896</v>
      </c>
      <c r="AA224">
        <v>39</v>
      </c>
      <c r="AB224">
        <v>20</v>
      </c>
      <c r="AC224">
        <v>27</v>
      </c>
      <c r="AD224">
        <v>2</v>
      </c>
      <c r="AE224">
        <v>0</v>
      </c>
      <c r="AF224" t="str">
        <v>Wall kitchen cabinet with 2 doors for above-fridge (39" x 20")</v>
      </c>
      <c r="AG224" t="str">
        <v>Above-fridge (39" x 20")</v>
      </c>
    </row>
    <row r="225" hidden="1">
      <c r="A225" t="str">
        <v>S8-W42.518</v>
      </c>
      <c r="B225" t="b">
        <v>1</v>
      </c>
      <c r="E225" t="b">
        <f>IF(OR(B225=TRUE,C225=TRUE,D225=TRUE),FALSE,TRUE)</f>
        <v>0</v>
      </c>
      <c r="H225" t="str">
        <f>IF(ISNUMBER(SEARCH("muf",A225)),"Chêne blanc","Blanc")</f>
        <v>Blanc</v>
      </c>
      <c r="I225" t="str">
        <f>CONCAT(G225,IF(H225="","",IF(H225="Blanc","-CW","-WWO")))</f>
        <v>-CW</v>
      </c>
      <c r="K225" t="str">
        <v>wall-cabinet-standard</v>
      </c>
      <c r="M225" t="str">
        <f>IFERROR(VLOOKUP(K225,Categories!$A$2:$C$41,3,FALSE()),"⚠ slug introuvable")</f>
        <v>⚠ slug introuvable</v>
      </c>
      <c r="N225" t="str">
        <v>W42.518</v>
      </c>
      <c r="Q225" s="1">
        <v>0</v>
      </c>
      <c r="R225" s="1">
        <f>Q225/11.25</f>
        <v>0</v>
      </c>
      <c r="S225" s="1">
        <f>R225*1.4</f>
        <v>0</v>
      </c>
      <c r="T225" s="1">
        <f>S225*1.1</f>
        <v>0</v>
      </c>
      <c r="U225" s="1">
        <f>T225*1.2</f>
        <v>0</v>
      </c>
      <c r="V225" s="1">
        <f>U225*1.2</f>
        <v>0</v>
      </c>
      <c r="W225" s="1">
        <f>V225*1.1</f>
        <v>0</v>
      </c>
      <c r="X225" s="1">
        <f>W225</f>
        <v>0</v>
      </c>
      <c r="Y225" s="2">
        <v>0.4</v>
      </c>
      <c r="Z225" s="1">
        <f>X225*(1+Y225)</f>
        <v>0</v>
      </c>
      <c r="AA225">
        <v>42.5</v>
      </c>
      <c r="AB225">
        <v>18</v>
      </c>
      <c r="AC225">
        <v>12</v>
      </c>
      <c r="AD225">
        <v>1</v>
      </c>
      <c r="AE225">
        <v>0</v>
      </c>
    </row>
    <row r="226" hidden="1">
      <c r="A226" t="str">
        <v>S8-W4230</v>
      </c>
      <c r="E226" t="b">
        <f>IF(OR(B226=TRUE,C226=TRUE,D226=TRUE),FALSE,TRUE)</f>
        <v>1</v>
      </c>
      <c r="G226" t="str">
        <v>DOWC4230</v>
      </c>
      <c r="H226" t="str">
        <f>IF(ISNUMBER(SEARCH("muf",A226)),"Chêne blanc","Blanc")</f>
        <v>Blanc</v>
      </c>
      <c r="I226" t="str">
        <f>CONCAT(G226,IF(H226="","",IF(H226="Blanc","-CW","-WWO")))</f>
        <v>DOWC4230-CW</v>
      </c>
      <c r="J226" t="str">
        <v>wall-cabinet</v>
      </c>
      <c r="K226" t="str">
        <v>standard</v>
      </c>
      <c r="L226" t="str">
        <f>IFERROR(VLOOKUP(J226,Categories!$A$2:$C$41,3,FALSE()),"⚠ slug introuvable")</f>
        <v>Armoire murale</v>
      </c>
      <c r="M226" t="str">
        <f>IFERROR(VLOOKUP(K226,Categories!$A$2:$C$41,3,FALSE()),"⚠ slug introuvable")</f>
        <v>Standard</v>
      </c>
      <c r="N226" t="str">
        <v>Armoire de cuisine du haut à 2 portes</v>
      </c>
      <c r="O226" t="str">
        <f>CONCAT(N226," (",AA226,""" x ",AB226,""")")</f>
        <v>Armoire de cuisine du haut à 2 portes (42" x 30")</v>
      </c>
      <c r="P226" t="str">
        <f>CONCAT("2 portes"," (",AA226,""" x ",AB226,""")")</f>
        <v>2 portes (42" x 30")</v>
      </c>
      <c r="Q226" s="1">
        <v>1001.9</v>
      </c>
      <c r="R226" s="1">
        <f>Q226/11.25</f>
        <v>89.05777777777777</v>
      </c>
      <c r="S226" s="1">
        <f>R226*1.4</f>
        <v>124.68088888888887</v>
      </c>
      <c r="T226" s="1">
        <f>S226*1.1</f>
        <v>137.14897777777776</v>
      </c>
      <c r="U226" s="1">
        <f>T226*1.2</f>
        <v>164.57877333333332</v>
      </c>
      <c r="V226" s="1">
        <f>U226*1.2</f>
        <v>197.49452799999997</v>
      </c>
      <c r="W226" s="1">
        <f>V226*1.1</f>
        <v>217.2439808</v>
      </c>
      <c r="X226" s="1">
        <f>W226</f>
        <v>217.2439808</v>
      </c>
      <c r="Y226" s="2">
        <v>0.4</v>
      </c>
      <c r="Z226" s="1">
        <f>X226*(1+Y226)</f>
        <v>304.14157312</v>
      </c>
      <c r="AA226">
        <v>42</v>
      </c>
      <c r="AB226">
        <v>30</v>
      </c>
      <c r="AC226">
        <v>12</v>
      </c>
      <c r="AD226">
        <v>2</v>
      </c>
      <c r="AE226">
        <v>0</v>
      </c>
      <c r="AF226" t="str">
        <v>Wall kitchen cabinet with 2 doors (42" x 30")</v>
      </c>
      <c r="AG226" t="str">
        <v>2 doors (42" x 30")</v>
      </c>
    </row>
    <row r="227" hidden="1">
      <c r="A227" t="str">
        <v>S8-W4236</v>
      </c>
      <c r="E227" t="b">
        <f>IF(OR(B227=TRUE,C227=TRUE,D227=TRUE),FALSE,TRUE)</f>
        <v>1</v>
      </c>
      <c r="G227" t="str">
        <v>DOWC4236</v>
      </c>
      <c r="H227" t="str">
        <f>IF(ISNUMBER(SEARCH("muf",A227)),"Chêne blanc","Blanc")</f>
        <v>Blanc</v>
      </c>
      <c r="I227" t="str">
        <f>CONCAT(G227,IF(H227="","",IF(H227="Blanc","-CW","-WWO")))</f>
        <v>DOWC4236-CW</v>
      </c>
      <c r="J227" t="str">
        <v>wall-cabinet</v>
      </c>
      <c r="K227" t="str">
        <v>standard</v>
      </c>
      <c r="L227" t="str">
        <f>IFERROR(VLOOKUP(J227,Categories!$A$2:$C$41,3,FALSE()),"⚠ slug introuvable")</f>
        <v>Armoire murale</v>
      </c>
      <c r="M227" t="str">
        <f>IFERROR(VLOOKUP(K227,Categories!$A$2:$C$41,3,FALSE()),"⚠ slug introuvable")</f>
        <v>Standard</v>
      </c>
      <c r="N227" t="str">
        <v>Armoire de cuisine du haut à 2 portes</v>
      </c>
      <c r="O227" t="str">
        <f>CONCAT(N227," (",AA227,""" x ",AB227,""")")</f>
        <v>Armoire de cuisine du haut à 2 portes (42" x 36")</v>
      </c>
      <c r="P227" t="str">
        <f>CONCAT("2 portes"," (",AA227,""" x ",AB227,""")")</f>
        <v>2 portes (42" x 36")</v>
      </c>
      <c r="Q227" s="1">
        <v>1127</v>
      </c>
      <c r="R227" s="1">
        <f>Q227/11.25</f>
        <v>100.17777777777778</v>
      </c>
      <c r="S227" s="1">
        <f>R227*1.4</f>
        <v>140.24888888888887</v>
      </c>
      <c r="T227" s="1">
        <f>S227*1.1</f>
        <v>154.27377777777778</v>
      </c>
      <c r="U227" s="1">
        <f>T227*1.2</f>
        <v>185.12853333333334</v>
      </c>
      <c r="V227" s="1">
        <f>U227*1.2</f>
        <v>222.15424</v>
      </c>
      <c r="W227" s="1">
        <f>V227*1.1</f>
        <v>244.369664</v>
      </c>
      <c r="X227" s="1">
        <f>W227</f>
        <v>244.369664</v>
      </c>
      <c r="Y227" s="2">
        <v>0.4</v>
      </c>
      <c r="Z227" s="1">
        <f>X227*(1+Y227)</f>
        <v>342.11752959999995</v>
      </c>
      <c r="AA227">
        <v>42</v>
      </c>
      <c r="AB227">
        <v>36</v>
      </c>
      <c r="AC227">
        <v>12</v>
      </c>
      <c r="AD227">
        <v>2</v>
      </c>
      <c r="AE227">
        <v>0</v>
      </c>
      <c r="AF227" t="str">
        <v>Wall kitchen cabinet with 2 doors (42" x 36")</v>
      </c>
      <c r="AG227" t="str">
        <v>2 doors (42" x 36")</v>
      </c>
    </row>
    <row r="228" hidden="1">
      <c r="A228" t="str">
        <v>S8-WBC2730</v>
      </c>
      <c r="B228" t="b">
        <v>1</v>
      </c>
      <c r="E228" t="b">
        <f>IF(OR(B228=TRUE,C228=TRUE,D228=TRUE),FALSE,TRUE)</f>
        <v>0</v>
      </c>
      <c r="H228" t="str">
        <f>IF(ISNUMBER(SEARCH("muf",A228)),"Chêne blanc","Blanc")</f>
        <v>Blanc</v>
      </c>
      <c r="I228" t="str">
        <f>CONCAT(G228,IF(H228="","",IF(H228="Blanc","-CW","-WWO")))</f>
        <v>-CW</v>
      </c>
      <c r="K228" t="str">
        <v>wall-blind-corner</v>
      </c>
      <c r="M228" t="str">
        <f>IFERROR(VLOOKUP(K228,Categories!$A$2:$C$41,3,FALSE()),"⚠ slug introuvable")</f>
        <v>Coin aveugle mural</v>
      </c>
      <c r="N228" t="str">
        <v>WBC2730</v>
      </c>
      <c r="Q228" s="1">
        <v>0</v>
      </c>
      <c r="R228" s="1">
        <f>Q228/11.25</f>
        <v>0</v>
      </c>
      <c r="S228" s="1">
        <f>R228*1.4</f>
        <v>0</v>
      </c>
      <c r="T228" s="1">
        <f>S228*1.1</f>
        <v>0</v>
      </c>
      <c r="U228" s="1">
        <f>T228*1.2</f>
        <v>0</v>
      </c>
      <c r="V228" s="1">
        <f>U228*1.2</f>
        <v>0</v>
      </c>
      <c r="W228" s="1">
        <f>V228*1.1</f>
        <v>0</v>
      </c>
      <c r="X228" s="1">
        <f>W228</f>
        <v>0</v>
      </c>
      <c r="Y228" s="2">
        <v>0.4</v>
      </c>
      <c r="Z228" s="1">
        <f>X228*(1+Y228)</f>
        <v>0</v>
      </c>
      <c r="AA228">
        <v>27</v>
      </c>
      <c r="AB228">
        <v>30</v>
      </c>
      <c r="AC228">
        <v>12</v>
      </c>
    </row>
    <row r="229" hidden="1">
      <c r="A229" t="str">
        <v>S8-WBC2736</v>
      </c>
      <c r="B229" t="b">
        <v>1</v>
      </c>
      <c r="E229" t="b">
        <f>IF(OR(B229=TRUE,C229=TRUE,D229=TRUE),FALSE,TRUE)</f>
        <v>0</v>
      </c>
      <c r="H229" t="str">
        <f>IF(ISNUMBER(SEARCH("muf",A229)),"Chêne blanc","Blanc")</f>
        <v>Blanc</v>
      </c>
      <c r="I229" t="str">
        <f>CONCAT(G229,IF(H229="","",IF(H229="Blanc","-CW","-WWO")))</f>
        <v>-CW</v>
      </c>
      <c r="K229" t="str">
        <v>wall-blind-corner</v>
      </c>
      <c r="M229" t="str">
        <f>IFERROR(VLOOKUP(K229,Categories!$A$2:$C$41,3,FALSE()),"⚠ slug introuvable")</f>
        <v>Coin aveugle mural</v>
      </c>
      <c r="N229" t="str">
        <v>WBC2736</v>
      </c>
      <c r="Q229" s="1">
        <v>0</v>
      </c>
      <c r="R229" s="1">
        <f>Q229/11.25</f>
        <v>0</v>
      </c>
      <c r="S229" s="1">
        <f>R229*1.4</f>
        <v>0</v>
      </c>
      <c r="T229" s="1">
        <f>S229*1.1</f>
        <v>0</v>
      </c>
      <c r="U229" s="1">
        <f>T229*1.2</f>
        <v>0</v>
      </c>
      <c r="V229" s="1">
        <f>U229*1.2</f>
        <v>0</v>
      </c>
      <c r="W229" s="1">
        <f>V229*1.1</f>
        <v>0</v>
      </c>
      <c r="X229" s="1">
        <f>W229</f>
        <v>0</v>
      </c>
      <c r="Y229" s="2">
        <v>0.4</v>
      </c>
      <c r="Z229" s="1">
        <f>X229*(1+Y229)</f>
        <v>0</v>
      </c>
      <c r="AA229">
        <v>27</v>
      </c>
      <c r="AB229">
        <v>36</v>
      </c>
      <c r="AC229">
        <v>12</v>
      </c>
    </row>
    <row r="230" hidden="1">
      <c r="A230" t="str">
        <v>S8-WBC2736-Door</v>
      </c>
      <c r="B230" t="b">
        <v>1</v>
      </c>
      <c r="E230" t="b">
        <f>IF(OR(B230=TRUE,C230=TRUE,D230=TRUE),FALSE,TRUE)</f>
        <v>0</v>
      </c>
      <c r="H230" t="str">
        <f>IF(ISNUMBER(SEARCH("muf",A230)),"Chêne blanc","Blanc")</f>
        <v>Blanc</v>
      </c>
      <c r="I230" t="str">
        <f>CONCAT(G230,IF(H230="","",IF(H230="Blanc","-CW","-WWO")))</f>
        <v>-CW</v>
      </c>
      <c r="K230" t="str">
        <v>wall-blind-corner</v>
      </c>
      <c r="M230" t="str">
        <f>IFERROR(VLOOKUP(K230,Categories!$A$2:$C$41,3,FALSE()),"⚠ slug introuvable")</f>
        <v>Coin aveugle mural</v>
      </c>
      <c r="N230" t="str">
        <v>WBC2736-Door</v>
      </c>
      <c r="Q230" s="1">
        <v>0</v>
      </c>
      <c r="R230" s="1">
        <f>Q230/11.25</f>
        <v>0</v>
      </c>
      <c r="S230" s="1">
        <f>R230*1.4</f>
        <v>0</v>
      </c>
      <c r="T230" s="1">
        <f>S230*1.1</f>
        <v>0</v>
      </c>
      <c r="U230" s="1">
        <f>T230*1.2</f>
        <v>0</v>
      </c>
      <c r="V230" s="1">
        <f>U230*1.2</f>
        <v>0</v>
      </c>
      <c r="W230" s="1">
        <f>V230*1.1</f>
        <v>0</v>
      </c>
      <c r="X230" s="1">
        <f>W230</f>
        <v>0</v>
      </c>
      <c r="Y230" s="2">
        <v>0.4</v>
      </c>
      <c r="Z230" s="1">
        <f>X230*(1+Y230)</f>
        <v>0</v>
      </c>
      <c r="AA230">
        <v>27</v>
      </c>
      <c r="AB230">
        <v>36</v>
      </c>
      <c r="AC230">
        <v>12</v>
      </c>
    </row>
    <row r="231" hidden="1">
      <c r="A231" t="str">
        <v>S8-WBC2748-L</v>
      </c>
      <c r="B231" t="b">
        <v>1</v>
      </c>
      <c r="E231" t="b">
        <f>IF(OR(B231=TRUE,C231=TRUE,D231=TRUE),FALSE,TRUE)</f>
        <v>0</v>
      </c>
      <c r="H231" t="str">
        <f>IF(ISNUMBER(SEARCH("muf",A231)),"Chêne blanc","Blanc")</f>
        <v>Blanc</v>
      </c>
      <c r="I231" t="str">
        <f>CONCAT(G231,IF(H231="","",IF(H231="Blanc","-CW","-WWO")))</f>
        <v>-CW</v>
      </c>
      <c r="K231" t="str">
        <v>wall-blind-corner</v>
      </c>
      <c r="M231" t="str">
        <f>IFERROR(VLOOKUP(K231,Categories!$A$2:$C$41,3,FALSE()),"⚠ slug introuvable")</f>
        <v>Coin aveugle mural</v>
      </c>
      <c r="N231" t="str">
        <v>WBC2748-L</v>
      </c>
      <c r="Q231" s="1">
        <v>0</v>
      </c>
      <c r="R231" s="1">
        <f>Q231/11.25</f>
        <v>0</v>
      </c>
      <c r="S231" s="1">
        <f>R231*1.4</f>
        <v>0</v>
      </c>
      <c r="T231" s="1">
        <f>S231*1.1</f>
        <v>0</v>
      </c>
      <c r="U231" s="1">
        <f>T231*1.2</f>
        <v>0</v>
      </c>
      <c r="V231" s="1">
        <f>U231*1.2</f>
        <v>0</v>
      </c>
      <c r="W231" s="1">
        <f>V231*1.1</f>
        <v>0</v>
      </c>
      <c r="X231" s="1">
        <f>W231</f>
        <v>0</v>
      </c>
      <c r="Y231" s="2">
        <v>0.4</v>
      </c>
      <c r="Z231" s="1">
        <f>X231*(1+Y231)</f>
        <v>0</v>
      </c>
      <c r="AA231">
        <v>27</v>
      </c>
      <c r="AB231">
        <v>48</v>
      </c>
      <c r="AC231">
        <v>12</v>
      </c>
    </row>
    <row r="232" hidden="1">
      <c r="A232" t="str">
        <v>S8-WBC2748-R</v>
      </c>
      <c r="B232" t="b">
        <v>1</v>
      </c>
      <c r="E232" t="b">
        <f>IF(OR(B232=TRUE,C232=TRUE,D232=TRUE),FALSE,TRUE)</f>
        <v>0</v>
      </c>
      <c r="H232" t="str">
        <f>IF(ISNUMBER(SEARCH("muf",A232)),"Chêne blanc","Blanc")</f>
        <v>Blanc</v>
      </c>
      <c r="I232" t="str">
        <f>CONCAT(G232,IF(H232="","",IF(H232="Blanc","-CW","-WWO")))</f>
        <v>-CW</v>
      </c>
      <c r="K232" t="str">
        <v>wall-blind-corner</v>
      </c>
      <c r="M232" t="str">
        <f>IFERROR(VLOOKUP(K232,Categories!$A$2:$C$41,3,FALSE()),"⚠ slug introuvable")</f>
        <v>Coin aveugle mural</v>
      </c>
      <c r="N232" t="str">
        <v>WBC2748-R</v>
      </c>
      <c r="Q232" s="1">
        <v>0</v>
      </c>
      <c r="R232" s="1">
        <f>Q232/11.25</f>
        <v>0</v>
      </c>
      <c r="S232" s="1">
        <f>R232*1.4</f>
        <v>0</v>
      </c>
      <c r="T232" s="1">
        <f>S232*1.1</f>
        <v>0</v>
      </c>
      <c r="U232" s="1">
        <f>T232*1.2</f>
        <v>0</v>
      </c>
      <c r="V232" s="1">
        <f>U232*1.2</f>
        <v>0</v>
      </c>
      <c r="W232" s="1">
        <f>V232*1.1</f>
        <v>0</v>
      </c>
      <c r="X232" s="1">
        <f>W232</f>
        <v>0</v>
      </c>
      <c r="Y232" s="2">
        <v>0.4</v>
      </c>
      <c r="Z232" s="1">
        <f>X232*(1+Y232)</f>
        <v>0</v>
      </c>
      <c r="AA232">
        <v>27</v>
      </c>
      <c r="AB232">
        <v>48</v>
      </c>
      <c r="AC232">
        <v>12</v>
      </c>
    </row>
    <row r="233" hidden="1">
      <c r="A233" t="str">
        <v>S8-WBC3030</v>
      </c>
      <c r="E233" t="b">
        <f>IF(OR(B233=TRUE,C233=TRUE,D233=TRUE),FALSE,TRUE)</f>
        <v>1</v>
      </c>
      <c r="G233" t="str">
        <v>BCWC3030</v>
      </c>
      <c r="H233" t="str">
        <f>IF(ISNUMBER(SEARCH("muf",A233)),"Chêne blanc","Blanc")</f>
        <v>Blanc</v>
      </c>
      <c r="I233" t="str">
        <f>CONCAT(G233,IF(H233="","",IF(H233="Blanc","-CW","-WWO")))</f>
        <v>BCWC3030-CW</v>
      </c>
      <c r="J233" t="str">
        <v>wall-cabinet</v>
      </c>
      <c r="K233" t="str">
        <v>corner</v>
      </c>
      <c r="L233" t="str">
        <f>IFERROR(VLOOKUP(J233,Categories!$A$2:$C$41,3,FALSE()),"⚠ slug introuvable")</f>
        <v>Armoire murale</v>
      </c>
      <c r="M233" t="str">
        <f>IFERROR(VLOOKUP(K233,Categories!$A$2:$C$41,3,FALSE()),"⚠ slug introuvable")</f>
        <v>Coin</v>
      </c>
      <c r="N233" t="str">
        <v>Armoire de cuisine du haut coin mort</v>
      </c>
      <c r="O233" t="str">
        <f>CONCAT(N233," (",AA233,""" x ",AB233,""")")</f>
        <v>Armoire de cuisine du haut coin mort (30" x 30")</v>
      </c>
      <c r="P233" t="str">
        <f>CONCAT("Coin mort"," (",AA233,""" x ",AB233,""")")</f>
        <v>Coin mort (30" x 30")</v>
      </c>
      <c r="Q233" s="1">
        <v>664</v>
      </c>
      <c r="R233" s="1">
        <f>Q233/11.25</f>
        <v>59.022222222222226</v>
      </c>
      <c r="S233" s="1">
        <f>R233*1.4</f>
        <v>82.63111111111111</v>
      </c>
      <c r="T233" s="1">
        <f>S233*1.1</f>
        <v>90.89422222222223</v>
      </c>
      <c r="U233" s="1">
        <f>T233*1.2</f>
        <v>109.07306666666666</v>
      </c>
      <c r="V233" s="1">
        <f>U233*1.2</f>
        <v>130.88768</v>
      </c>
      <c r="W233" s="1">
        <f>V233*1.1</f>
        <v>143.976448</v>
      </c>
      <c r="X233" s="1">
        <f>W233</f>
        <v>143.976448</v>
      </c>
      <c r="Y233" s="2">
        <v>0.4</v>
      </c>
      <c r="Z233" s="1">
        <f>X233*(1+Y233)</f>
        <v>201.56702719999998</v>
      </c>
      <c r="AA233">
        <v>30</v>
      </c>
      <c r="AB233">
        <v>30</v>
      </c>
      <c r="AC233">
        <v>12</v>
      </c>
      <c r="AD233">
        <v>1</v>
      </c>
      <c r="AE233">
        <v>0</v>
      </c>
      <c r="AF233" t="str">
        <v>Wall kitchen blind-corner cabinet (30" x 30")</v>
      </c>
      <c r="AG233" t="str">
        <v>Blind corner (30" x 30")</v>
      </c>
    </row>
    <row r="234" hidden="1">
      <c r="A234" t="str">
        <v>S8-WBC3036</v>
      </c>
      <c r="E234" t="b">
        <f>IF(OR(B234=TRUE,C234=TRUE,D234=TRUE),FALSE,TRUE)</f>
        <v>1</v>
      </c>
      <c r="G234" t="str">
        <v>BCWC3036</v>
      </c>
      <c r="H234" t="str">
        <f>IF(ISNUMBER(SEARCH("muf",A234)),"Chêne blanc","Blanc")</f>
        <v>Blanc</v>
      </c>
      <c r="I234" t="str">
        <f>CONCAT(G234,IF(H234="","",IF(H234="Blanc","-CW","-WWO")))</f>
        <v>BCWC3036-CW</v>
      </c>
      <c r="J234" t="str">
        <v>wall-cabinet</v>
      </c>
      <c r="K234" t="str">
        <v>corner</v>
      </c>
      <c r="L234" t="str">
        <f>IFERROR(VLOOKUP(J234,Categories!$A$2:$C$41,3,FALSE()),"⚠ slug introuvable")</f>
        <v>Armoire murale</v>
      </c>
      <c r="M234" t="str">
        <f>IFERROR(VLOOKUP(K234,Categories!$A$2:$C$41,3,FALSE()),"⚠ slug introuvable")</f>
        <v>Coin</v>
      </c>
      <c r="N234" t="str">
        <v>Armoire de cuisine du haut coin mort</v>
      </c>
      <c r="O234" t="str">
        <f>CONCAT(N234," (",AA234,""" x ",AB234,""")")</f>
        <v>Armoire de cuisine du haut coin mort (30" x 36")</v>
      </c>
      <c r="P234" t="str">
        <f>CONCAT("Coin mort"," (",AA234,""" x ",AB234,""")")</f>
        <v>Coin mort (30" x 36")</v>
      </c>
      <c r="Q234" s="1">
        <v>749</v>
      </c>
      <c r="R234" s="1">
        <f>Q234/11.25</f>
        <v>66.57777777777778</v>
      </c>
      <c r="S234" s="1">
        <f>R234*1.4</f>
        <v>93.2088888888889</v>
      </c>
      <c r="T234" s="1">
        <f>S234*1.1</f>
        <v>102.5297777777778</v>
      </c>
      <c r="U234" s="1">
        <f>T234*1.2</f>
        <v>123.03573333333335</v>
      </c>
      <c r="V234" s="1">
        <f>U234*1.2</f>
        <v>147.64288000000002</v>
      </c>
      <c r="W234" s="1">
        <f>V234*1.1</f>
        <v>162.40716800000004</v>
      </c>
      <c r="X234" s="1">
        <f>W234</f>
        <v>162.40716800000004</v>
      </c>
      <c r="Y234" s="2">
        <v>0.4</v>
      </c>
      <c r="Z234" s="1">
        <f>X234*(1+Y234)</f>
        <v>227.37003520000005</v>
      </c>
      <c r="AA234">
        <v>30</v>
      </c>
      <c r="AB234">
        <v>36</v>
      </c>
      <c r="AC234">
        <v>12</v>
      </c>
      <c r="AD234">
        <v>1</v>
      </c>
      <c r="AE234">
        <v>0</v>
      </c>
      <c r="AF234" t="str">
        <v>Wall kitchen blind-corner cabinet (30" x 36")</v>
      </c>
      <c r="AG234" t="str">
        <v>Blind corner (30" x 36")</v>
      </c>
    </row>
    <row r="235" hidden="1">
      <c r="A235" t="str">
        <v>S8-WBC3330</v>
      </c>
      <c r="E235" t="b">
        <f>IF(OR(B235=TRUE,C235=TRUE,D235=TRUE),FALSE,TRUE)</f>
        <v>1</v>
      </c>
      <c r="F235" t="str">
        <v>left or right ?</v>
      </c>
      <c r="G235" t="str">
        <v>BCWC3330</v>
      </c>
      <c r="H235" t="str">
        <f>IF(ISNUMBER(SEARCH("muf",A235)),"Chêne blanc","Blanc")</f>
        <v>Blanc</v>
      </c>
      <c r="I235" t="str">
        <f>CONCAT(G235,IF(H235="","",IF(H235="Blanc","-CW","-WWO")))</f>
        <v>BCWC3330-CW</v>
      </c>
      <c r="J235" t="str">
        <v>wall-cabinet</v>
      </c>
      <c r="K235" t="str">
        <v>corner</v>
      </c>
      <c r="L235" t="str">
        <f>IFERROR(VLOOKUP(J235,Categories!$A$2:$C$41,3,FALSE()),"⚠ slug introuvable")</f>
        <v>Armoire murale</v>
      </c>
      <c r="M235" t="str">
        <f>IFERROR(VLOOKUP(K235,Categories!$A$2:$C$41,3,FALSE()),"⚠ slug introuvable")</f>
        <v>Coin</v>
      </c>
      <c r="N235" t="str">
        <v>Armoire de cuisine du haut coin mort</v>
      </c>
      <c r="O235" t="str">
        <f>CONCAT(N235," (",AA235,""" x ",AB235,""")")</f>
        <v>Armoire de cuisine du haut coin mort (33" x 30")</v>
      </c>
      <c r="P235" t="str">
        <f>CONCAT("Coin mort"," (",AA235,""" x ",AB235,""")")</f>
        <v>Coin mort (33" x 30")</v>
      </c>
      <c r="Q235" s="1">
        <v>711</v>
      </c>
      <c r="R235" s="1">
        <f>Q235/11.25</f>
        <v>63.2</v>
      </c>
      <c r="S235" s="1">
        <f>R235*1.4</f>
        <v>88.48</v>
      </c>
      <c r="T235" s="1">
        <f>S235*1.1</f>
        <v>97.32800000000002</v>
      </c>
      <c r="U235" s="1">
        <f>T235*1.2</f>
        <v>116.79360000000001</v>
      </c>
      <c r="V235" s="1">
        <f>U235*1.2</f>
        <v>140.15232</v>
      </c>
      <c r="W235" s="1">
        <f>V235*1.1</f>
        <v>154.16755200000003</v>
      </c>
      <c r="X235" s="1">
        <f>W235</f>
        <v>154.16755200000003</v>
      </c>
      <c r="Y235" s="2">
        <v>0.4</v>
      </c>
      <c r="Z235" s="1">
        <f>X235*(1+Y235)</f>
        <v>215.83457280000002</v>
      </c>
      <c r="AA235">
        <v>33</v>
      </c>
      <c r="AB235">
        <v>30</v>
      </c>
      <c r="AC235">
        <v>12</v>
      </c>
      <c r="AD235">
        <v>1</v>
      </c>
      <c r="AE235">
        <v>0</v>
      </c>
      <c r="AF235" t="str">
        <v>Wall kitchen blind-corner cabinet (33" x 30")</v>
      </c>
      <c r="AG235" t="str">
        <v>Blind corner (33" x 30")</v>
      </c>
    </row>
    <row r="236" hidden="1">
      <c r="A236" t="str">
        <v>S8-WBC3336</v>
      </c>
      <c r="E236" t="b">
        <f>IF(OR(B236=TRUE,C236=TRUE,D236=TRUE),FALSE,TRUE)</f>
        <v>1</v>
      </c>
      <c r="G236" t="str">
        <v>BCWC3336</v>
      </c>
      <c r="H236" t="str">
        <f>IF(ISNUMBER(SEARCH("muf",A236)),"Chêne blanc","Blanc")</f>
        <v>Blanc</v>
      </c>
      <c r="I236" t="str">
        <f>CONCAT(G236,IF(H236="","",IF(H236="Blanc","-CW","-WWO")))</f>
        <v>BCWC3336-CW</v>
      </c>
      <c r="J236" t="str">
        <v>wall-cabinet</v>
      </c>
      <c r="K236" t="str">
        <v>corner</v>
      </c>
      <c r="L236" t="str">
        <f>IFERROR(VLOOKUP(J236,Categories!$A$2:$C$41,3,FALSE()),"⚠ slug introuvable")</f>
        <v>Armoire murale</v>
      </c>
      <c r="M236" t="str">
        <f>IFERROR(VLOOKUP(K236,Categories!$A$2:$C$41,3,FALSE()),"⚠ slug introuvable")</f>
        <v>Coin</v>
      </c>
      <c r="N236" t="str">
        <v>Armoire de cuisine du haut coin mort</v>
      </c>
      <c r="O236" t="str">
        <f>CONCAT(N236," (",AA236,""" x ",AB236,""")")</f>
        <v>Armoire de cuisine du haut coin mort (33" x 36")</v>
      </c>
      <c r="P236" t="str">
        <f>CONCAT("Coin mort"," (",AA236,""" x ",AB236,""")")</f>
        <v>Coin mort (33" x 36")</v>
      </c>
      <c r="Q236" s="1">
        <v>795</v>
      </c>
      <c r="R236" s="1">
        <f>Q236/11.25</f>
        <v>70.66666666666667</v>
      </c>
      <c r="S236" s="1">
        <f>R236*1.4</f>
        <v>98.93333333333334</v>
      </c>
      <c r="T236" s="1">
        <f>S236*1.1</f>
        <v>108.82666666666668</v>
      </c>
      <c r="U236" s="1">
        <f>T236*1.2</f>
        <v>130.592</v>
      </c>
      <c r="V236" s="1">
        <f>U236*1.2</f>
        <v>156.71040000000002</v>
      </c>
      <c r="W236" s="1">
        <f>V236*1.1</f>
        <v>172.38144000000003</v>
      </c>
      <c r="X236" s="1">
        <f>W236</f>
        <v>172.38144000000003</v>
      </c>
      <c r="Y236" s="2">
        <v>0.4</v>
      </c>
      <c r="Z236" s="1">
        <f>X236*(1+Y236)</f>
        <v>241.33401600000002</v>
      </c>
      <c r="AA236">
        <v>33</v>
      </c>
      <c r="AB236">
        <v>36</v>
      </c>
      <c r="AC236">
        <v>12</v>
      </c>
      <c r="AD236">
        <v>1</v>
      </c>
      <c r="AE236">
        <v>0</v>
      </c>
      <c r="AF236" t="str">
        <v>Wall kitchen blind-corner cabinet (33" x 36")</v>
      </c>
      <c r="AG236" t="str">
        <v>Blind corner (33" x 36")</v>
      </c>
    </row>
    <row r="237" hidden="1">
      <c r="A237" t="str">
        <v>S8-WBC3630</v>
      </c>
      <c r="E237" t="b">
        <f>IF(OR(B237=TRUE,C237=TRUE,D237=TRUE),FALSE,TRUE)</f>
        <v>1</v>
      </c>
      <c r="G237" t="str">
        <v>BCWC3630</v>
      </c>
      <c r="H237" t="str">
        <f>IF(ISNUMBER(SEARCH("muf",A237)),"Chêne blanc","Blanc")</f>
        <v>Blanc</v>
      </c>
      <c r="I237" t="str">
        <f>CONCAT(G237,IF(H237="","",IF(H237="Blanc","-CW","-WWO")))</f>
        <v>BCWC3630-CW</v>
      </c>
      <c r="J237" t="str">
        <v>wall-cabinet</v>
      </c>
      <c r="K237" t="str">
        <v>corner</v>
      </c>
      <c r="L237" t="str">
        <f>IFERROR(VLOOKUP(J237,Categories!$A$2:$C$41,3,FALSE()),"⚠ slug introuvable")</f>
        <v>Armoire murale</v>
      </c>
      <c r="M237" t="str">
        <f>IFERROR(VLOOKUP(K237,Categories!$A$2:$C$41,3,FALSE()),"⚠ slug introuvable")</f>
        <v>Coin</v>
      </c>
      <c r="N237" t="str">
        <v>Armoire de cuisine du haut coin mort</v>
      </c>
      <c r="O237" t="str">
        <f>CONCAT(N237," (",AA237,""" x ",AB237,""")")</f>
        <v>Armoire de cuisine du haut coin mort (36" x 30")</v>
      </c>
      <c r="P237" t="str">
        <f>CONCAT("Coin mort"," (",AA237,""" x ",AB237,""")")</f>
        <v>Coin mort (36" x 30")</v>
      </c>
      <c r="Q237" s="1">
        <v>772</v>
      </c>
      <c r="R237" s="1">
        <f>Q237/11.25</f>
        <v>68.62222222222222</v>
      </c>
      <c r="S237" s="1">
        <f>R237*1.4</f>
        <v>96.07111111111111</v>
      </c>
      <c r="T237" s="1">
        <f>S237*1.1</f>
        <v>105.67822222222223</v>
      </c>
      <c r="U237" s="1">
        <f>T237*1.2</f>
        <v>126.81386666666667</v>
      </c>
      <c r="V237" s="1">
        <f>U237*1.2</f>
        <v>152.17664</v>
      </c>
      <c r="W237" s="1">
        <f>V237*1.1</f>
        <v>167.394304</v>
      </c>
      <c r="X237" s="1">
        <f>W237</f>
        <v>167.394304</v>
      </c>
      <c r="Y237" s="2">
        <v>0.4</v>
      </c>
      <c r="Z237" s="1">
        <f>X237*(1+Y237)</f>
        <v>234.3520256</v>
      </c>
      <c r="AA237">
        <v>36</v>
      </c>
      <c r="AB237">
        <v>30</v>
      </c>
      <c r="AC237">
        <v>12</v>
      </c>
      <c r="AD237">
        <v>1</v>
      </c>
      <c r="AE237">
        <v>0</v>
      </c>
      <c r="AF237" t="str">
        <v>Wall kitchen blind-corner cabinet (36" x 30")</v>
      </c>
      <c r="AG237" t="str">
        <v>Blind corner (36" x 30")</v>
      </c>
    </row>
    <row r="238" hidden="1">
      <c r="A238" t="str">
        <v>S8-WBC3636</v>
      </c>
      <c r="E238" t="b">
        <f>IF(OR(B238=TRUE,C238=TRUE,D238=TRUE),FALSE,TRUE)</f>
        <v>1</v>
      </c>
      <c r="G238" t="str">
        <v>BCWC3636</v>
      </c>
      <c r="H238" t="str">
        <f>IF(ISNUMBER(SEARCH("muf",A238)),"Chêne blanc","Blanc")</f>
        <v>Blanc</v>
      </c>
      <c r="I238" t="str">
        <f>CONCAT(G238,IF(H238="","",IF(H238="Blanc","-CW","-WWO")))</f>
        <v>BCWC3636-CW</v>
      </c>
      <c r="J238" t="str">
        <v>wall-cabinet</v>
      </c>
      <c r="K238" t="str">
        <v>corner</v>
      </c>
      <c r="L238" t="str">
        <f>IFERROR(VLOOKUP(J238,Categories!$A$2:$C$41,3,FALSE()),"⚠ slug introuvable")</f>
        <v>Armoire murale</v>
      </c>
      <c r="M238" t="str">
        <f>IFERROR(VLOOKUP(K238,Categories!$A$2:$C$41,3,FALSE()),"⚠ slug introuvable")</f>
        <v>Coin</v>
      </c>
      <c r="N238" t="str">
        <v>Armoire de cuisine du haut coin mort</v>
      </c>
      <c r="O238" t="str">
        <f>CONCAT(N238," (",AA238,""" x ",AB238,""")")</f>
        <v>Armoire de cuisine du haut coin mort (36" x 36")</v>
      </c>
      <c r="P238" t="str">
        <f>CONCAT("Coin mort"," (",AA238,""" x ",AB238,""")")</f>
        <v>Coin mort (36" x 36")</v>
      </c>
      <c r="Q238" s="1">
        <v>850</v>
      </c>
      <c r="R238" s="1">
        <f>Q238/11.25</f>
        <v>75.55555555555556</v>
      </c>
      <c r="S238" s="1">
        <f>R238*1.4</f>
        <v>105.77777777777777</v>
      </c>
      <c r="T238" s="1">
        <f>S238*1.1</f>
        <v>116.35555555555555</v>
      </c>
      <c r="U238" s="1">
        <f>T238*1.2</f>
        <v>139.62666666666667</v>
      </c>
      <c r="V238" s="1">
        <f>U238*1.2</f>
        <v>167.552</v>
      </c>
      <c r="W238" s="1">
        <f>V238*1.1</f>
        <v>184.3072</v>
      </c>
      <c r="X238" s="1">
        <f>W238</f>
        <v>184.3072</v>
      </c>
      <c r="Y238" s="2">
        <v>0.4</v>
      </c>
      <c r="Z238" s="1">
        <f>X238*(1+Y238)</f>
        <v>258.03008</v>
      </c>
      <c r="AA238">
        <v>36</v>
      </c>
      <c r="AB238">
        <v>36</v>
      </c>
      <c r="AC238">
        <v>12</v>
      </c>
      <c r="AD238">
        <v>1</v>
      </c>
      <c r="AE238">
        <v>0</v>
      </c>
      <c r="AF238" t="str">
        <v>Wall kitchen blind-corner cabinet (36" x 36")</v>
      </c>
      <c r="AG238" t="str">
        <v>Blind corner (36" x 36")</v>
      </c>
    </row>
    <row r="239" hidden="1">
      <c r="A239" t="str">
        <v>S8-WBC3648-L</v>
      </c>
      <c r="B239" t="b">
        <v>1</v>
      </c>
      <c r="E239" t="b">
        <f>IF(OR(B239=TRUE,C239=TRUE,D239=TRUE),FALSE,TRUE)</f>
        <v>0</v>
      </c>
      <c r="H239" t="str">
        <f>IF(ISNUMBER(SEARCH("muf",A239)),"Chêne blanc","Blanc")</f>
        <v>Blanc</v>
      </c>
      <c r="I239" t="str">
        <f>CONCAT(G239,IF(H239="","",IF(H239="Blanc","-CW","-WWO")))</f>
        <v>-CW</v>
      </c>
      <c r="K239" t="str">
        <v>wall-blind-corner</v>
      </c>
      <c r="M239" t="str">
        <f>IFERROR(VLOOKUP(K239,Categories!$A$2:$C$41,3,FALSE()),"⚠ slug introuvable")</f>
        <v>Coin aveugle mural</v>
      </c>
      <c r="N239" t="str">
        <v>WBC3648-L</v>
      </c>
      <c r="Q239" s="1">
        <v>0</v>
      </c>
      <c r="R239" s="1">
        <f>Q239/11.25</f>
        <v>0</v>
      </c>
      <c r="S239" s="1">
        <f>R239*1.4</f>
        <v>0</v>
      </c>
      <c r="T239" s="1">
        <f>S239*1.1</f>
        <v>0</v>
      </c>
      <c r="U239" s="1">
        <f>T239*1.2</f>
        <v>0</v>
      </c>
      <c r="V239" s="1">
        <f>U239*1.2</f>
        <v>0</v>
      </c>
      <c r="W239" s="1">
        <f>V239*1.1</f>
        <v>0</v>
      </c>
      <c r="X239" s="1">
        <f>W239</f>
        <v>0</v>
      </c>
      <c r="Y239" s="2">
        <v>0.4</v>
      </c>
      <c r="Z239" s="1">
        <f>X239*(1+Y239)</f>
        <v>0</v>
      </c>
      <c r="AA239">
        <v>36</v>
      </c>
      <c r="AB239">
        <v>48</v>
      </c>
      <c r="AC239">
        <v>12</v>
      </c>
    </row>
    <row r="240" hidden="1">
      <c r="A240" t="str">
        <v>S8-WBC3648-R</v>
      </c>
      <c r="B240" t="b">
        <v>1</v>
      </c>
      <c r="E240" t="b">
        <f>IF(OR(B240=TRUE,C240=TRUE,D240=TRUE),FALSE,TRUE)</f>
        <v>0</v>
      </c>
      <c r="H240" t="str">
        <f>IF(ISNUMBER(SEARCH("muf",A240)),"Chêne blanc","Blanc")</f>
        <v>Blanc</v>
      </c>
      <c r="I240" t="str">
        <f>CONCAT(G240,IF(H240="","",IF(H240="Blanc","-CW","-WWO")))</f>
        <v>-CW</v>
      </c>
      <c r="K240" t="str">
        <v>wall-blind-corner</v>
      </c>
      <c r="M240" t="str">
        <f>IFERROR(VLOOKUP(K240,Categories!$A$2:$C$41,3,FALSE()),"⚠ slug introuvable")</f>
        <v>Coin aveugle mural</v>
      </c>
      <c r="N240" t="str">
        <v>WBC3648-R</v>
      </c>
      <c r="Q240" s="1">
        <v>0</v>
      </c>
      <c r="R240" s="1">
        <f>Q240/11.25</f>
        <v>0</v>
      </c>
      <c r="S240" s="1">
        <f>R240*1.4</f>
        <v>0</v>
      </c>
      <c r="T240" s="1">
        <f>S240*1.1</f>
        <v>0</v>
      </c>
      <c r="U240" s="1">
        <f>T240*1.2</f>
        <v>0</v>
      </c>
      <c r="V240" s="1">
        <f>U240*1.2</f>
        <v>0</v>
      </c>
      <c r="W240" s="1">
        <f>V240*1.1</f>
        <v>0</v>
      </c>
      <c r="X240" s="1">
        <f>W240</f>
        <v>0</v>
      </c>
      <c r="Y240" s="2">
        <v>0.4</v>
      </c>
      <c r="Z240" s="1">
        <f>X240*(1+Y240)</f>
        <v>0</v>
      </c>
      <c r="AA240">
        <v>36</v>
      </c>
      <c r="AB240">
        <v>48</v>
      </c>
      <c r="AC240">
        <v>12</v>
      </c>
    </row>
    <row r="241" hidden="1">
      <c r="A241" t="str">
        <v>S8-WBCT1530</v>
      </c>
      <c r="B241" t="b">
        <v>1</v>
      </c>
      <c r="E241" t="b">
        <f>IF(OR(B241=TRUE,C241=TRUE,D241=TRUE),FALSE,TRUE)</f>
        <v>0</v>
      </c>
      <c r="H241" t="str">
        <f>IF(ISNUMBER(SEARCH("muf",A241)),"Chêne blanc","Blanc")</f>
        <v>Blanc</v>
      </c>
      <c r="I241" t="str">
        <f>CONCAT(G241,IF(H241="","",IF(H241="Blanc","-CW","-WWO")))</f>
        <v>-CW</v>
      </c>
      <c r="K241" t="str">
        <v>wall-blind-corner-tall</v>
      </c>
      <c r="M241" t="str">
        <f>IFERROR(VLOOKUP(K241,Categories!$A$2:$C$41,3,FALSE()),"⚠ slug introuvable")</f>
        <v>Coin aveugle mural haut</v>
      </c>
      <c r="N241" t="str">
        <v>WBCT1530</v>
      </c>
      <c r="Q241" s="1">
        <v>0</v>
      </c>
      <c r="R241" s="1">
        <f>Q241/11.25</f>
        <v>0</v>
      </c>
      <c r="S241" s="1">
        <f>R241*1.4</f>
        <v>0</v>
      </c>
      <c r="T241" s="1">
        <f>S241*1.1</f>
        <v>0</v>
      </c>
      <c r="U241" s="1">
        <f>T241*1.2</f>
        <v>0</v>
      </c>
      <c r="V241" s="1">
        <f>U241*1.2</f>
        <v>0</v>
      </c>
      <c r="W241" s="1">
        <f>V241*1.1</f>
        <v>0</v>
      </c>
      <c r="X241" s="1">
        <f>W241</f>
        <v>0</v>
      </c>
      <c r="Y241" s="2">
        <v>0.4</v>
      </c>
      <c r="Z241" s="1">
        <f>X241*(1+Y241)</f>
        <v>0</v>
      </c>
      <c r="AA241">
        <v>15</v>
      </c>
      <c r="AB241">
        <v>30</v>
      </c>
      <c r="AC241">
        <v>12</v>
      </c>
    </row>
    <row r="242" hidden="1">
      <c r="A242" t="str">
        <v>S8-WBCT1536</v>
      </c>
      <c r="B242" t="b">
        <v>1</v>
      </c>
      <c r="E242" t="b">
        <f>IF(OR(B242=TRUE,C242=TRUE,D242=TRUE),FALSE,TRUE)</f>
        <v>0</v>
      </c>
      <c r="H242" t="str">
        <f>IF(ISNUMBER(SEARCH("muf",A242)),"Chêne blanc","Blanc")</f>
        <v>Blanc</v>
      </c>
      <c r="I242" t="str">
        <f>CONCAT(G242,IF(H242="","",IF(H242="Blanc","-CW","-WWO")))</f>
        <v>-CW</v>
      </c>
      <c r="K242" t="str">
        <v>wall-blind-corner-tall</v>
      </c>
      <c r="M242" t="str">
        <f>IFERROR(VLOOKUP(K242,Categories!$A$2:$C$41,3,FALSE()),"⚠ slug introuvable")</f>
        <v>Coin aveugle mural haut</v>
      </c>
      <c r="N242" t="str">
        <v>WBCT1536</v>
      </c>
      <c r="Q242" s="1">
        <v>0</v>
      </c>
      <c r="R242" s="1">
        <f>Q242/11.25</f>
        <v>0</v>
      </c>
      <c r="S242" s="1">
        <f>R242*1.4</f>
        <v>0</v>
      </c>
      <c r="T242" s="1">
        <f>S242*1.1</f>
        <v>0</v>
      </c>
      <c r="U242" s="1">
        <f>T242*1.2</f>
        <v>0</v>
      </c>
      <c r="V242" s="1">
        <f>U242*1.2</f>
        <v>0</v>
      </c>
      <c r="W242" s="1">
        <f>V242*1.1</f>
        <v>0</v>
      </c>
      <c r="X242" s="1">
        <f>W242</f>
        <v>0</v>
      </c>
      <c r="Y242" s="2">
        <v>0.4</v>
      </c>
      <c r="Z242" s="1">
        <f>X242*(1+Y242)</f>
        <v>0</v>
      </c>
      <c r="AA242">
        <v>15</v>
      </c>
      <c r="AB242">
        <v>36</v>
      </c>
      <c r="AC242">
        <v>12</v>
      </c>
    </row>
    <row r="243" hidden="1">
      <c r="A243" t="str">
        <v>S8-WBCT1830</v>
      </c>
      <c r="B243" t="b">
        <v>1</v>
      </c>
      <c r="E243" t="b">
        <f>IF(OR(B243=TRUE,C243=TRUE,D243=TRUE),FALSE,TRUE)</f>
        <v>0</v>
      </c>
      <c r="H243" t="str">
        <f>IF(ISNUMBER(SEARCH("muf",A243)),"Chêne blanc","Blanc")</f>
        <v>Blanc</v>
      </c>
      <c r="I243" t="str">
        <f>CONCAT(G243,IF(H243="","",IF(H243="Blanc","-CW","-WWO")))</f>
        <v>-CW</v>
      </c>
      <c r="K243" t="str">
        <v>wall-blind-corner-tall</v>
      </c>
      <c r="M243" t="str">
        <f>IFERROR(VLOOKUP(K243,Categories!$A$2:$C$41,3,FALSE()),"⚠ slug introuvable")</f>
        <v>Coin aveugle mural haut</v>
      </c>
      <c r="N243" t="str">
        <v>WBCT1830</v>
      </c>
      <c r="Q243" s="1">
        <v>0</v>
      </c>
      <c r="R243" s="1">
        <f>Q243/11.25</f>
        <v>0</v>
      </c>
      <c r="S243" s="1">
        <f>R243*1.4</f>
        <v>0</v>
      </c>
      <c r="T243" s="1">
        <f>S243*1.1</f>
        <v>0</v>
      </c>
      <c r="U243" s="1">
        <f>T243*1.2</f>
        <v>0</v>
      </c>
      <c r="V243" s="1">
        <f>U243*1.2</f>
        <v>0</v>
      </c>
      <c r="W243" s="1">
        <f>V243*1.1</f>
        <v>0</v>
      </c>
      <c r="X243" s="1">
        <f>W243</f>
        <v>0</v>
      </c>
      <c r="Y243" s="2">
        <v>0.4</v>
      </c>
      <c r="Z243" s="1">
        <f>X243*(1+Y243)</f>
        <v>0</v>
      </c>
      <c r="AA243">
        <v>18</v>
      </c>
      <c r="AB243">
        <v>30</v>
      </c>
      <c r="AC243">
        <v>12</v>
      </c>
    </row>
    <row r="244" hidden="1">
      <c r="A244" t="str">
        <v>S8-WBCT1836</v>
      </c>
      <c r="B244" t="b">
        <v>1</v>
      </c>
      <c r="E244" t="b">
        <f>IF(OR(B244=TRUE,C244=TRUE,D244=TRUE),FALSE,TRUE)</f>
        <v>0</v>
      </c>
      <c r="H244" t="str">
        <f>IF(ISNUMBER(SEARCH("muf",A244)),"Chêne blanc","Blanc")</f>
        <v>Blanc</v>
      </c>
      <c r="I244" t="str">
        <f>CONCAT(G244,IF(H244="","",IF(H244="Blanc","-CW","-WWO")))</f>
        <v>-CW</v>
      </c>
      <c r="K244" t="str">
        <v>wall-blind-corner-tall</v>
      </c>
      <c r="M244" t="str">
        <f>IFERROR(VLOOKUP(K244,Categories!$A$2:$C$41,3,FALSE()),"⚠ slug introuvable")</f>
        <v>Coin aveugle mural haut</v>
      </c>
      <c r="N244" t="str">
        <v>WBCT1836</v>
      </c>
      <c r="Q244" s="1">
        <v>0</v>
      </c>
      <c r="R244" s="1">
        <f>Q244/11.25</f>
        <v>0</v>
      </c>
      <c r="S244" s="1">
        <f>R244*1.4</f>
        <v>0</v>
      </c>
      <c r="T244" s="1">
        <f>S244*1.1</f>
        <v>0</v>
      </c>
      <c r="U244" s="1">
        <f>T244*1.2</f>
        <v>0</v>
      </c>
      <c r="V244" s="1">
        <f>U244*1.2</f>
        <v>0</v>
      </c>
      <c r="W244" s="1">
        <f>V244*1.1</f>
        <v>0</v>
      </c>
      <c r="X244" s="1">
        <f>W244</f>
        <v>0</v>
      </c>
      <c r="Y244" s="2">
        <v>0.4</v>
      </c>
      <c r="Z244" s="1">
        <f>X244*(1+Y244)</f>
        <v>0</v>
      </c>
      <c r="AA244">
        <v>18</v>
      </c>
      <c r="AB244">
        <v>36</v>
      </c>
      <c r="AC244">
        <v>12</v>
      </c>
    </row>
    <row r="245" hidden="1">
      <c r="A245" t="str">
        <v>S8-WBCT2130</v>
      </c>
      <c r="B245" t="b">
        <v>1</v>
      </c>
      <c r="E245" t="b">
        <f>IF(OR(B245=TRUE,C245=TRUE,D245=TRUE),FALSE,TRUE)</f>
        <v>0</v>
      </c>
      <c r="H245" t="str">
        <f>IF(ISNUMBER(SEARCH("muf",A245)),"Chêne blanc","Blanc")</f>
        <v>Blanc</v>
      </c>
      <c r="I245" t="str">
        <f>CONCAT(G245,IF(H245="","",IF(H245="Blanc","-CW","-WWO")))</f>
        <v>-CW</v>
      </c>
      <c r="K245" t="str">
        <v>wall-blind-corner-tall</v>
      </c>
      <c r="M245" t="str">
        <f>IFERROR(VLOOKUP(K245,Categories!$A$2:$C$41,3,FALSE()),"⚠ slug introuvable")</f>
        <v>Coin aveugle mural haut</v>
      </c>
      <c r="N245" t="str">
        <v>WBCT2130</v>
      </c>
      <c r="Q245" s="1">
        <v>0</v>
      </c>
      <c r="R245" s="1">
        <f>Q245/11.25</f>
        <v>0</v>
      </c>
      <c r="S245" s="1">
        <f>R245*1.4</f>
        <v>0</v>
      </c>
      <c r="T245" s="1">
        <f>S245*1.1</f>
        <v>0</v>
      </c>
      <c r="U245" s="1">
        <f>T245*1.2</f>
        <v>0</v>
      </c>
      <c r="V245" s="1">
        <f>U245*1.2</f>
        <v>0</v>
      </c>
      <c r="W245" s="1">
        <f>V245*1.1</f>
        <v>0</v>
      </c>
      <c r="X245" s="1">
        <f>W245</f>
        <v>0</v>
      </c>
      <c r="Y245" s="2">
        <v>0.4</v>
      </c>
      <c r="Z245" s="1">
        <f>X245*(1+Y245)</f>
        <v>0</v>
      </c>
      <c r="AA245">
        <v>21</v>
      </c>
      <c r="AB245">
        <v>30</v>
      </c>
      <c r="AC245">
        <v>12</v>
      </c>
    </row>
    <row r="246" hidden="1">
      <c r="A246" t="str">
        <v>S8-WBCT2136</v>
      </c>
      <c r="B246" t="b">
        <v>1</v>
      </c>
      <c r="E246" t="b">
        <f>IF(OR(B246=TRUE,C246=TRUE,D246=TRUE),FALSE,TRUE)</f>
        <v>0</v>
      </c>
      <c r="H246" t="str">
        <f>IF(ISNUMBER(SEARCH("muf",A246)),"Chêne blanc","Blanc")</f>
        <v>Blanc</v>
      </c>
      <c r="I246" t="str">
        <f>CONCAT(G246,IF(H246="","",IF(H246="Blanc","-CW","-WWO")))</f>
        <v>-CW</v>
      </c>
      <c r="K246" t="str">
        <v>wall-blind-corner-tall</v>
      </c>
      <c r="M246" t="str">
        <f>IFERROR(VLOOKUP(K246,Categories!$A$2:$C$41,3,FALSE()),"⚠ slug introuvable")</f>
        <v>Coin aveugle mural haut</v>
      </c>
      <c r="N246" t="str">
        <v>WBCT2136</v>
      </c>
      <c r="Q246" s="1">
        <v>0</v>
      </c>
      <c r="R246" s="1">
        <f>Q246/11.25</f>
        <v>0</v>
      </c>
      <c r="S246" s="1">
        <f>R246*1.4</f>
        <v>0</v>
      </c>
      <c r="T246" s="1">
        <f>S246*1.1</f>
        <v>0</v>
      </c>
      <c r="U246" s="1">
        <f>T246*1.2</f>
        <v>0</v>
      </c>
      <c r="V246" s="1">
        <f>U246*1.2</f>
        <v>0</v>
      </c>
      <c r="W246" s="1">
        <f>V246*1.1</f>
        <v>0</v>
      </c>
      <c r="X246" s="1">
        <f>W246</f>
        <v>0</v>
      </c>
      <c r="Y246" s="2">
        <v>0.4</v>
      </c>
      <c r="Z246" s="1">
        <f>X246*(1+Y246)</f>
        <v>0</v>
      </c>
      <c r="AA246">
        <v>21</v>
      </c>
      <c r="AB246">
        <v>36</v>
      </c>
      <c r="AC246">
        <v>12</v>
      </c>
    </row>
    <row r="247" hidden="1">
      <c r="A247" t="str">
        <v>S8-WBCT2136-Door</v>
      </c>
      <c r="B247" t="b">
        <v>1</v>
      </c>
      <c r="E247" t="b">
        <f>IF(OR(B247=TRUE,C247=TRUE,D247=TRUE),FALSE,TRUE)</f>
        <v>0</v>
      </c>
      <c r="H247" t="str">
        <f>IF(ISNUMBER(SEARCH("muf",A247)),"Chêne blanc","Blanc")</f>
        <v>Blanc</v>
      </c>
      <c r="I247" t="str">
        <f>CONCAT(G247,IF(H247="","",IF(H247="Blanc","-CW","-WWO")))</f>
        <v>-CW</v>
      </c>
      <c r="K247" t="str">
        <v>wall-blind-corner-tall</v>
      </c>
      <c r="M247" t="str">
        <f>IFERROR(VLOOKUP(K247,Categories!$A$2:$C$41,3,FALSE()),"⚠ slug introuvable")</f>
        <v>Coin aveugle mural haut</v>
      </c>
      <c r="N247" t="str">
        <v>WBCT2136-Door</v>
      </c>
      <c r="Q247" s="1">
        <v>0</v>
      </c>
      <c r="R247" s="1">
        <f>Q247/11.25</f>
        <v>0</v>
      </c>
      <c r="S247" s="1">
        <f>R247*1.4</f>
        <v>0</v>
      </c>
      <c r="T247" s="1">
        <f>S247*1.1</f>
        <v>0</v>
      </c>
      <c r="U247" s="1">
        <f>T247*1.2</f>
        <v>0</v>
      </c>
      <c r="V247" s="1">
        <f>U247*1.2</f>
        <v>0</v>
      </c>
      <c r="W247" s="1">
        <f>V247*1.1</f>
        <v>0</v>
      </c>
      <c r="X247" s="1">
        <f>W247</f>
        <v>0</v>
      </c>
      <c r="Y247" s="2">
        <v>0.4</v>
      </c>
      <c r="Z247" s="1">
        <f>X247*(1+Y247)</f>
        <v>0</v>
      </c>
      <c r="AA247">
        <v>21</v>
      </c>
      <c r="AB247">
        <v>36</v>
      </c>
      <c r="AC247">
        <v>12</v>
      </c>
    </row>
    <row r="248" hidden="1">
      <c r="A248" t="str">
        <v>S8-WBCT2148-L</v>
      </c>
      <c r="B248" t="b">
        <v>1</v>
      </c>
      <c r="E248" t="b">
        <f>IF(OR(B248=TRUE,C248=TRUE,D248=TRUE),FALSE,TRUE)</f>
        <v>0</v>
      </c>
      <c r="H248" t="str">
        <f>IF(ISNUMBER(SEARCH("muf",A248)),"Chêne blanc","Blanc")</f>
        <v>Blanc</v>
      </c>
      <c r="I248" t="str">
        <f>CONCAT(G248,IF(H248="","",IF(H248="Blanc","-CW","-WWO")))</f>
        <v>-CW</v>
      </c>
      <c r="K248" t="str">
        <v>wall-blind-corner-tall</v>
      </c>
      <c r="M248" t="str">
        <f>IFERROR(VLOOKUP(K248,Categories!$A$2:$C$41,3,FALSE()),"⚠ slug introuvable")</f>
        <v>Coin aveugle mural haut</v>
      </c>
      <c r="N248" t="str">
        <v>WBCT2148-L</v>
      </c>
      <c r="Q248" s="1">
        <v>0</v>
      </c>
      <c r="R248" s="1">
        <f>Q248/11.25</f>
        <v>0</v>
      </c>
      <c r="S248" s="1">
        <f>R248*1.4</f>
        <v>0</v>
      </c>
      <c r="T248" s="1">
        <f>S248*1.1</f>
        <v>0</v>
      </c>
      <c r="U248" s="1">
        <f>T248*1.2</f>
        <v>0</v>
      </c>
      <c r="V248" s="1">
        <f>U248*1.2</f>
        <v>0</v>
      </c>
      <c r="W248" s="1">
        <f>V248*1.1</f>
        <v>0</v>
      </c>
      <c r="X248" s="1">
        <f>W248</f>
        <v>0</v>
      </c>
      <c r="Y248" s="2">
        <v>0.4</v>
      </c>
      <c r="Z248" s="1">
        <f>X248*(1+Y248)</f>
        <v>0</v>
      </c>
      <c r="AA248">
        <v>21</v>
      </c>
      <c r="AB248">
        <v>48</v>
      </c>
      <c r="AC248">
        <v>12</v>
      </c>
    </row>
    <row r="249" hidden="1">
      <c r="A249" t="str">
        <v>S8-WBCT2148-R</v>
      </c>
      <c r="B249" t="b">
        <v>1</v>
      </c>
      <c r="E249" t="b">
        <f>IF(OR(B249=TRUE,C249=TRUE,D249=TRUE),FALSE,TRUE)</f>
        <v>0</v>
      </c>
      <c r="H249" t="str">
        <f>IF(ISNUMBER(SEARCH("muf",A249)),"Chêne blanc","Blanc")</f>
        <v>Blanc</v>
      </c>
      <c r="I249" t="str">
        <f>CONCAT(G249,IF(H249="","",IF(H249="Blanc","-CW","-WWO")))</f>
        <v>-CW</v>
      </c>
      <c r="K249" t="str">
        <v>wall-blind-corner-tall</v>
      </c>
      <c r="M249" t="str">
        <f>IFERROR(VLOOKUP(K249,Categories!$A$2:$C$41,3,FALSE()),"⚠ slug introuvable")</f>
        <v>Coin aveugle mural haut</v>
      </c>
      <c r="N249" t="str">
        <v>WBCT2148-R</v>
      </c>
      <c r="Q249" s="1">
        <v>0</v>
      </c>
      <c r="R249" s="1">
        <f>Q249/11.25</f>
        <v>0</v>
      </c>
      <c r="S249" s="1">
        <f>R249*1.4</f>
        <v>0</v>
      </c>
      <c r="T249" s="1">
        <f>S249*1.1</f>
        <v>0</v>
      </c>
      <c r="U249" s="1">
        <f>T249*1.2</f>
        <v>0</v>
      </c>
      <c r="V249" s="1">
        <f>U249*1.2</f>
        <v>0</v>
      </c>
      <c r="W249" s="1">
        <f>V249*1.1</f>
        <v>0</v>
      </c>
      <c r="X249" s="1">
        <f>W249</f>
        <v>0</v>
      </c>
      <c r="Y249" s="2">
        <v>0.4</v>
      </c>
      <c r="Z249" s="1">
        <f>X249*(1+Y249)</f>
        <v>0</v>
      </c>
      <c r="AA249">
        <v>21</v>
      </c>
      <c r="AB249">
        <v>48</v>
      </c>
      <c r="AC249">
        <v>12</v>
      </c>
    </row>
    <row r="250" hidden="1">
      <c r="A250" t="str">
        <v>S8-WBCT2430</v>
      </c>
      <c r="B250" t="b">
        <v>1</v>
      </c>
      <c r="E250" t="b">
        <f>IF(OR(B250=TRUE,C250=TRUE,D250=TRUE),FALSE,TRUE)</f>
        <v>0</v>
      </c>
      <c r="H250" t="str">
        <f>IF(ISNUMBER(SEARCH("muf",A250)),"Chêne blanc","Blanc")</f>
        <v>Blanc</v>
      </c>
      <c r="I250" t="str">
        <f>CONCAT(G250,IF(H250="","",IF(H250="Blanc","-CW","-WWO")))</f>
        <v>-CW</v>
      </c>
      <c r="K250" t="str">
        <v>wall-blind-corner-tall</v>
      </c>
      <c r="M250" t="str">
        <f>IFERROR(VLOOKUP(K250,Categories!$A$2:$C$41,3,FALSE()),"⚠ slug introuvable")</f>
        <v>Coin aveugle mural haut</v>
      </c>
      <c r="N250" t="str">
        <v>WBCT2430</v>
      </c>
      <c r="Q250" s="1">
        <v>0</v>
      </c>
      <c r="R250" s="1">
        <f>Q250/11.25</f>
        <v>0</v>
      </c>
      <c r="S250" s="1">
        <f>R250*1.4</f>
        <v>0</v>
      </c>
      <c r="T250" s="1">
        <f>S250*1.1</f>
        <v>0</v>
      </c>
      <c r="U250" s="1">
        <f>T250*1.2</f>
        <v>0</v>
      </c>
      <c r="V250" s="1">
        <f>U250*1.2</f>
        <v>0</v>
      </c>
      <c r="W250" s="1">
        <f>V250*1.1</f>
        <v>0</v>
      </c>
      <c r="X250" s="1">
        <f>W250</f>
        <v>0</v>
      </c>
      <c r="Y250" s="2">
        <v>0.4</v>
      </c>
      <c r="Z250" s="1">
        <f>X250*(1+Y250)</f>
        <v>0</v>
      </c>
      <c r="AA250">
        <v>24</v>
      </c>
      <c r="AB250">
        <v>30</v>
      </c>
      <c r="AC250">
        <v>12</v>
      </c>
    </row>
    <row r="251" hidden="1">
      <c r="A251" t="str">
        <v>S8-WBCT2436</v>
      </c>
      <c r="B251" t="b">
        <v>1</v>
      </c>
      <c r="E251" t="b">
        <f>IF(OR(B251=TRUE,C251=TRUE,D251=TRUE),FALSE,TRUE)</f>
        <v>0</v>
      </c>
      <c r="H251" t="str">
        <f>IF(ISNUMBER(SEARCH("muf",A251)),"Chêne blanc","Blanc")</f>
        <v>Blanc</v>
      </c>
      <c r="I251" t="str">
        <f>CONCAT(G251,IF(H251="","",IF(H251="Blanc","-CW","-WWO")))</f>
        <v>-CW</v>
      </c>
      <c r="K251" t="str">
        <v>wall-blind-corner-tall</v>
      </c>
      <c r="M251" t="str">
        <f>IFERROR(VLOOKUP(K251,Categories!$A$2:$C$41,3,FALSE()),"⚠ slug introuvable")</f>
        <v>Coin aveugle mural haut</v>
      </c>
      <c r="N251" t="str">
        <v>WBCT2436</v>
      </c>
      <c r="Q251" s="1">
        <v>0</v>
      </c>
      <c r="R251" s="1">
        <f>Q251/11.25</f>
        <v>0</v>
      </c>
      <c r="S251" s="1">
        <f>R251*1.4</f>
        <v>0</v>
      </c>
      <c r="T251" s="1">
        <f>S251*1.1</f>
        <v>0</v>
      </c>
      <c r="U251" s="1">
        <f>T251*1.2</f>
        <v>0</v>
      </c>
      <c r="V251" s="1">
        <f>U251*1.2</f>
        <v>0</v>
      </c>
      <c r="W251" s="1">
        <f>V251*1.1</f>
        <v>0</v>
      </c>
      <c r="X251" s="1">
        <f>W251</f>
        <v>0</v>
      </c>
      <c r="Y251" s="2">
        <v>0.4</v>
      </c>
      <c r="Z251" s="1">
        <f>X251*(1+Y251)</f>
        <v>0</v>
      </c>
      <c r="AA251">
        <v>24</v>
      </c>
      <c r="AB251">
        <v>36</v>
      </c>
      <c r="AC251">
        <v>12</v>
      </c>
    </row>
    <row r="252" hidden="1">
      <c r="A252" t="str">
        <v>S8-WBCT2436-Door</v>
      </c>
      <c r="B252" t="b">
        <v>1</v>
      </c>
      <c r="E252" t="b">
        <f>IF(OR(B252=TRUE,C252=TRUE,D252=TRUE),FALSE,TRUE)</f>
        <v>0</v>
      </c>
      <c r="H252" t="str">
        <f>IF(ISNUMBER(SEARCH("muf",A252)),"Chêne blanc","Blanc")</f>
        <v>Blanc</v>
      </c>
      <c r="I252" t="str">
        <f>CONCAT(G252,IF(H252="","",IF(H252="Blanc","-CW","-WWO")))</f>
        <v>-CW</v>
      </c>
      <c r="K252" t="str">
        <v>wall-blind-corner-tall</v>
      </c>
      <c r="M252" t="str">
        <f>IFERROR(VLOOKUP(K252,Categories!$A$2:$C$41,3,FALSE()),"⚠ slug introuvable")</f>
        <v>Coin aveugle mural haut</v>
      </c>
      <c r="N252" t="str">
        <v>WBCT2436-Door</v>
      </c>
      <c r="Q252" s="1">
        <v>0</v>
      </c>
      <c r="R252" s="1">
        <f>Q252/11.25</f>
        <v>0</v>
      </c>
      <c r="S252" s="1">
        <f>R252*1.4</f>
        <v>0</v>
      </c>
      <c r="T252" s="1">
        <f>S252*1.1</f>
        <v>0</v>
      </c>
      <c r="U252" s="1">
        <f>T252*1.2</f>
        <v>0</v>
      </c>
      <c r="V252" s="1">
        <f>U252*1.2</f>
        <v>0</v>
      </c>
      <c r="W252" s="1">
        <f>V252*1.1</f>
        <v>0</v>
      </c>
      <c r="X252" s="1">
        <f>W252</f>
        <v>0</v>
      </c>
      <c r="Y252" s="2">
        <v>0.4</v>
      </c>
      <c r="Z252" s="1">
        <f>X252*(1+Y252)</f>
        <v>0</v>
      </c>
      <c r="AA252">
        <v>24</v>
      </c>
      <c r="AB252">
        <v>36</v>
      </c>
      <c r="AC252">
        <v>12</v>
      </c>
    </row>
    <row r="253" hidden="1">
      <c r="A253" t="str">
        <v>S8-WBCT2448-L</v>
      </c>
      <c r="B253" t="b">
        <v>1</v>
      </c>
      <c r="E253" t="b">
        <f>IF(OR(B253=TRUE,C253=TRUE,D253=TRUE),FALSE,TRUE)</f>
        <v>0</v>
      </c>
      <c r="H253" t="str">
        <f>IF(ISNUMBER(SEARCH("muf",A253)),"Chêne blanc","Blanc")</f>
        <v>Blanc</v>
      </c>
      <c r="I253" t="str">
        <f>CONCAT(G253,IF(H253="","",IF(H253="Blanc","-CW","-WWO")))</f>
        <v>-CW</v>
      </c>
      <c r="K253" t="str">
        <v>wall-blind-corner-tall</v>
      </c>
      <c r="M253" t="str">
        <f>IFERROR(VLOOKUP(K253,Categories!$A$2:$C$41,3,FALSE()),"⚠ slug introuvable")</f>
        <v>Coin aveugle mural haut</v>
      </c>
      <c r="N253" t="str">
        <v>WBCT2448-L</v>
      </c>
      <c r="Q253" s="1">
        <v>0</v>
      </c>
      <c r="R253" s="1">
        <f>Q253/11.25</f>
        <v>0</v>
      </c>
      <c r="S253" s="1">
        <f>R253*1.4</f>
        <v>0</v>
      </c>
      <c r="T253" s="1">
        <f>S253*1.1</f>
        <v>0</v>
      </c>
      <c r="U253" s="1">
        <f>T253*1.2</f>
        <v>0</v>
      </c>
      <c r="V253" s="1">
        <f>U253*1.2</f>
        <v>0</v>
      </c>
      <c r="W253" s="1">
        <f>V253*1.1</f>
        <v>0</v>
      </c>
      <c r="X253" s="1">
        <f>W253</f>
        <v>0</v>
      </c>
      <c r="Y253" s="2">
        <v>0.4</v>
      </c>
      <c r="Z253" s="1">
        <f>X253*(1+Y253)</f>
        <v>0</v>
      </c>
      <c r="AA253">
        <v>24</v>
      </c>
      <c r="AB253">
        <v>48</v>
      </c>
      <c r="AC253">
        <v>12</v>
      </c>
    </row>
    <row r="254" hidden="1">
      <c r="A254" t="str">
        <v>S8-WBCT2448-R</v>
      </c>
      <c r="B254" t="b">
        <v>1</v>
      </c>
      <c r="E254" t="b">
        <f>IF(OR(B254=TRUE,C254=TRUE,D254=TRUE),FALSE,TRUE)</f>
        <v>0</v>
      </c>
      <c r="H254" t="str">
        <f>IF(ISNUMBER(SEARCH("muf",A254)),"Chêne blanc","Blanc")</f>
        <v>Blanc</v>
      </c>
      <c r="I254" t="str">
        <f>CONCAT(G254,IF(H254="","",IF(H254="Blanc","-CW","-WWO")))</f>
        <v>-CW</v>
      </c>
      <c r="K254" t="str">
        <v>wall-blind-corner-tall</v>
      </c>
      <c r="M254" t="str">
        <f>IFERROR(VLOOKUP(K254,Categories!$A$2:$C$41,3,FALSE()),"⚠ slug introuvable")</f>
        <v>Coin aveugle mural haut</v>
      </c>
      <c r="N254" t="str">
        <v>WBCT2448-R</v>
      </c>
      <c r="Q254" s="1">
        <v>0</v>
      </c>
      <c r="R254" s="1">
        <f>Q254/11.25</f>
        <v>0</v>
      </c>
      <c r="S254" s="1">
        <f>R254*1.4</f>
        <v>0</v>
      </c>
      <c r="T254" s="1">
        <f>S254*1.1</f>
        <v>0</v>
      </c>
      <c r="U254" s="1">
        <f>T254*1.2</f>
        <v>0</v>
      </c>
      <c r="V254" s="1">
        <f>U254*1.2</f>
        <v>0</v>
      </c>
      <c r="W254" s="1">
        <f>V254*1.1</f>
        <v>0</v>
      </c>
      <c r="X254" s="1">
        <f>W254</f>
        <v>0</v>
      </c>
      <c r="Y254" s="2">
        <v>0.4</v>
      </c>
      <c r="Z254" s="1">
        <f>X254*(1+Y254)</f>
        <v>0</v>
      </c>
      <c r="AA254">
        <v>24</v>
      </c>
      <c r="AB254">
        <v>48</v>
      </c>
      <c r="AC254">
        <v>12</v>
      </c>
    </row>
    <row r="255" hidden="1">
      <c r="A255" t="str">
        <v>S8-WBCT2730</v>
      </c>
      <c r="B255" t="b">
        <v>1</v>
      </c>
      <c r="E255" t="b">
        <f>IF(OR(B255=TRUE,C255=TRUE,D255=TRUE),FALSE,TRUE)</f>
        <v>0</v>
      </c>
      <c r="H255" t="str">
        <f>IF(ISNUMBER(SEARCH("muf",A255)),"Chêne blanc","Blanc")</f>
        <v>Blanc</v>
      </c>
      <c r="I255" t="str">
        <f>CONCAT(G255,IF(H255="","",IF(H255="Blanc","-CW","-WWO")))</f>
        <v>-CW</v>
      </c>
      <c r="K255" t="str">
        <v>wall-blind-corner-tall</v>
      </c>
      <c r="M255" t="str">
        <f>IFERROR(VLOOKUP(K255,Categories!$A$2:$C$41,3,FALSE()),"⚠ slug introuvable")</f>
        <v>Coin aveugle mural haut</v>
      </c>
      <c r="N255" t="str">
        <v>WBCT2730</v>
      </c>
      <c r="Q255" s="1">
        <v>0</v>
      </c>
      <c r="R255" s="1">
        <f>Q255/11.25</f>
        <v>0</v>
      </c>
      <c r="S255" s="1">
        <f>R255*1.4</f>
        <v>0</v>
      </c>
      <c r="T255" s="1">
        <f>S255*1.1</f>
        <v>0</v>
      </c>
      <c r="U255" s="1">
        <f>T255*1.2</f>
        <v>0</v>
      </c>
      <c r="V255" s="1">
        <f>U255*1.2</f>
        <v>0</v>
      </c>
      <c r="W255" s="1">
        <f>V255*1.1</f>
        <v>0</v>
      </c>
      <c r="X255" s="1">
        <f>W255</f>
        <v>0</v>
      </c>
      <c r="Y255" s="2">
        <v>0.4</v>
      </c>
      <c r="Z255" s="1">
        <f>X255*(1+Y255)</f>
        <v>0</v>
      </c>
      <c r="AA255">
        <v>27</v>
      </c>
      <c r="AB255">
        <v>30</v>
      </c>
      <c r="AC255">
        <v>12</v>
      </c>
    </row>
    <row r="256" hidden="1">
      <c r="A256" t="str">
        <v>S8-WBCT2736</v>
      </c>
      <c r="B256" t="b">
        <v>1</v>
      </c>
      <c r="E256" t="b">
        <f>IF(OR(B256=TRUE,C256=TRUE,D256=TRUE),FALSE,TRUE)</f>
        <v>0</v>
      </c>
      <c r="H256" t="str">
        <f>IF(ISNUMBER(SEARCH("muf",A256)),"Chêne blanc","Blanc")</f>
        <v>Blanc</v>
      </c>
      <c r="I256" t="str">
        <f>CONCAT(G256,IF(H256="","",IF(H256="Blanc","-CW","-WWO")))</f>
        <v>-CW</v>
      </c>
      <c r="K256" t="str">
        <v>wall-blind-corner-tall</v>
      </c>
      <c r="M256" t="str">
        <f>IFERROR(VLOOKUP(K256,Categories!$A$2:$C$41,3,FALSE()),"⚠ slug introuvable")</f>
        <v>Coin aveugle mural haut</v>
      </c>
      <c r="N256" t="str">
        <v>WBCT2736</v>
      </c>
      <c r="Q256" s="1">
        <v>0</v>
      </c>
      <c r="R256" s="1">
        <f>Q256/11.25</f>
        <v>0</v>
      </c>
      <c r="S256" s="1">
        <f>R256*1.4</f>
        <v>0</v>
      </c>
      <c r="T256" s="1">
        <f>S256*1.1</f>
        <v>0</v>
      </c>
      <c r="U256" s="1">
        <f>T256*1.2</f>
        <v>0</v>
      </c>
      <c r="V256" s="1">
        <f>U256*1.2</f>
        <v>0</v>
      </c>
      <c r="W256" s="1">
        <f>V256*1.1</f>
        <v>0</v>
      </c>
      <c r="X256" s="1">
        <f>W256</f>
        <v>0</v>
      </c>
      <c r="Y256" s="2">
        <v>0.4</v>
      </c>
      <c r="Z256" s="1">
        <f>X256*(1+Y256)</f>
        <v>0</v>
      </c>
      <c r="AA256">
        <v>27</v>
      </c>
      <c r="AB256">
        <v>36</v>
      </c>
      <c r="AC256">
        <v>12</v>
      </c>
    </row>
    <row r="257" hidden="1">
      <c r="A257" t="str">
        <v>S8-WBCT3030</v>
      </c>
      <c r="B257" t="b">
        <v>1</v>
      </c>
      <c r="E257" t="b">
        <f>IF(OR(B257=TRUE,C257=TRUE,D257=TRUE),FALSE,TRUE)</f>
        <v>0</v>
      </c>
      <c r="H257" t="str">
        <f>IF(ISNUMBER(SEARCH("muf",A257)),"Chêne blanc","Blanc")</f>
        <v>Blanc</v>
      </c>
      <c r="I257" t="str">
        <f>CONCAT(G257,IF(H257="","",IF(H257="Blanc","-CW","-WWO")))</f>
        <v>-CW</v>
      </c>
      <c r="K257" t="str">
        <v>wall-blind-corner-tall</v>
      </c>
      <c r="M257" t="str">
        <f>IFERROR(VLOOKUP(K257,Categories!$A$2:$C$41,3,FALSE()),"⚠ slug introuvable")</f>
        <v>Coin aveugle mural haut</v>
      </c>
      <c r="N257" t="str">
        <v>WBCT3030</v>
      </c>
      <c r="Q257" s="1">
        <v>0</v>
      </c>
      <c r="R257" s="1">
        <f>Q257/11.25</f>
        <v>0</v>
      </c>
      <c r="S257" s="1">
        <f>R257*1.4</f>
        <v>0</v>
      </c>
      <c r="T257" s="1">
        <f>S257*1.1</f>
        <v>0</v>
      </c>
      <c r="U257" s="1">
        <f>T257*1.2</f>
        <v>0</v>
      </c>
      <c r="V257" s="1">
        <f>U257*1.2</f>
        <v>0</v>
      </c>
      <c r="W257" s="1">
        <f>V257*1.1</f>
        <v>0</v>
      </c>
      <c r="X257" s="1">
        <f>W257</f>
        <v>0</v>
      </c>
      <c r="Y257" s="2">
        <v>0.4</v>
      </c>
      <c r="Z257" s="1">
        <f>X257*(1+Y257)</f>
        <v>0</v>
      </c>
      <c r="AA257">
        <v>30</v>
      </c>
      <c r="AB257">
        <v>30</v>
      </c>
      <c r="AC257">
        <v>12</v>
      </c>
    </row>
    <row r="258" hidden="1">
      <c r="A258" t="str">
        <v>S8-WBCT3036</v>
      </c>
      <c r="B258" t="b">
        <v>1</v>
      </c>
      <c r="E258" t="b">
        <f>IF(OR(B258=TRUE,C258=TRUE,D258=TRUE),FALSE,TRUE)</f>
        <v>0</v>
      </c>
      <c r="H258" t="str">
        <f>IF(ISNUMBER(SEARCH("muf",A258)),"Chêne blanc","Blanc")</f>
        <v>Blanc</v>
      </c>
      <c r="I258" t="str">
        <f>CONCAT(G258,IF(H258="","",IF(H258="Blanc","-CW","-WWO")))</f>
        <v>-CW</v>
      </c>
      <c r="K258" t="str">
        <v>wall-blind-corner-tall</v>
      </c>
      <c r="M258" t="str">
        <f>IFERROR(VLOOKUP(K258,Categories!$A$2:$C$41,3,FALSE()),"⚠ slug introuvable")</f>
        <v>Coin aveugle mural haut</v>
      </c>
      <c r="N258" t="str">
        <v>WBCT3036</v>
      </c>
      <c r="Q258" s="1">
        <v>0</v>
      </c>
      <c r="R258" s="1">
        <f>Q258/11.25</f>
        <v>0</v>
      </c>
      <c r="S258" s="1">
        <f>R258*1.4</f>
        <v>0</v>
      </c>
      <c r="T258" s="1">
        <f>S258*1.1</f>
        <v>0</v>
      </c>
      <c r="U258" s="1">
        <f>T258*1.2</f>
        <v>0</v>
      </c>
      <c r="V258" s="1">
        <f>U258*1.2</f>
        <v>0</v>
      </c>
      <c r="W258" s="1">
        <f>V258*1.1</f>
        <v>0</v>
      </c>
      <c r="X258" s="1">
        <f>W258</f>
        <v>0</v>
      </c>
      <c r="Y258" s="2">
        <v>0.4</v>
      </c>
      <c r="Z258" s="1">
        <f>X258*(1+Y258)</f>
        <v>0</v>
      </c>
      <c r="AA258">
        <v>30</v>
      </c>
      <c r="AB258">
        <v>36</v>
      </c>
      <c r="AC258">
        <v>12</v>
      </c>
    </row>
    <row r="259" hidden="1">
      <c r="A259" t="str">
        <v>S8-WBCT3336</v>
      </c>
      <c r="B259" t="b">
        <v>1</v>
      </c>
      <c r="E259" t="b">
        <f>IF(OR(B259=TRUE,C259=TRUE,D259=TRUE),FALSE,TRUE)</f>
        <v>0</v>
      </c>
      <c r="H259" t="str">
        <f>IF(ISNUMBER(SEARCH("muf",A259)),"Chêne blanc","Blanc")</f>
        <v>Blanc</v>
      </c>
      <c r="I259" t="str">
        <f>CONCAT(G259,IF(H259="","",IF(H259="Blanc","-CW","-WWO")))</f>
        <v>-CW</v>
      </c>
      <c r="K259" t="str">
        <v>wall-blind-corner-tall</v>
      </c>
      <c r="M259" t="str">
        <f>IFERROR(VLOOKUP(K259,Categories!$A$2:$C$41,3,FALSE()),"⚠ slug introuvable")</f>
        <v>Coin aveugle mural haut</v>
      </c>
      <c r="N259" t="str">
        <v>WBCT3336</v>
      </c>
      <c r="Q259" s="1">
        <v>0</v>
      </c>
      <c r="R259" s="1">
        <f>Q259/11.25</f>
        <v>0</v>
      </c>
      <c r="S259" s="1">
        <f>R259*1.4</f>
        <v>0</v>
      </c>
      <c r="T259" s="1">
        <f>S259*1.1</f>
        <v>0</v>
      </c>
      <c r="U259" s="1">
        <f>T259*1.2</f>
        <v>0</v>
      </c>
      <c r="V259" s="1">
        <f>U259*1.2</f>
        <v>0</v>
      </c>
      <c r="W259" s="1">
        <f>V259*1.1</f>
        <v>0</v>
      </c>
      <c r="X259" s="1">
        <f>W259</f>
        <v>0</v>
      </c>
      <c r="Y259" s="2">
        <v>0.4</v>
      </c>
      <c r="Z259" s="1">
        <f>X259*(1+Y259)</f>
        <v>0</v>
      </c>
      <c r="AA259">
        <v>33</v>
      </c>
      <c r="AB259">
        <v>36</v>
      </c>
      <c r="AC259">
        <v>12</v>
      </c>
    </row>
    <row r="260" hidden="1">
      <c r="A260" t="str">
        <v>S8-WBCT3636</v>
      </c>
      <c r="B260" t="b">
        <v>1</v>
      </c>
      <c r="E260" t="b">
        <f>IF(OR(B260=TRUE,C260=TRUE,D260=TRUE),FALSE,TRUE)</f>
        <v>0</v>
      </c>
      <c r="H260" t="str">
        <f>IF(ISNUMBER(SEARCH("muf",A260)),"Chêne blanc","Blanc")</f>
        <v>Blanc</v>
      </c>
      <c r="I260" t="str">
        <f>CONCAT(G260,IF(H260="","",IF(H260="Blanc","-CW","-WWO")))</f>
        <v>-CW</v>
      </c>
      <c r="K260" t="str">
        <v>wall-blind-corner-tall</v>
      </c>
      <c r="M260" t="str">
        <f>IFERROR(VLOOKUP(K260,Categories!$A$2:$C$41,3,FALSE()),"⚠ slug introuvable")</f>
        <v>Coin aveugle mural haut</v>
      </c>
      <c r="N260" t="str">
        <v>WBCT3636</v>
      </c>
      <c r="Q260" s="1">
        <v>0</v>
      </c>
      <c r="R260" s="1">
        <f>Q260/11.25</f>
        <v>0</v>
      </c>
      <c r="S260" s="1">
        <f>R260*1.4</f>
        <v>0</v>
      </c>
      <c r="T260" s="1">
        <f>S260*1.1</f>
        <v>0</v>
      </c>
      <c r="U260" s="1">
        <f>T260*1.2</f>
        <v>0</v>
      </c>
      <c r="V260" s="1">
        <f>U260*1.2</f>
        <v>0</v>
      </c>
      <c r="W260" s="1">
        <f>V260*1.1</f>
        <v>0</v>
      </c>
      <c r="X260" s="1">
        <f>W260</f>
        <v>0</v>
      </c>
      <c r="Y260" s="2">
        <v>0.4</v>
      </c>
      <c r="Z260" s="1">
        <f>X260*(1+Y260)</f>
        <v>0</v>
      </c>
      <c r="AA260">
        <v>36</v>
      </c>
      <c r="AB260">
        <v>36</v>
      </c>
      <c r="AC260">
        <v>12</v>
      </c>
    </row>
    <row r="261" hidden="1">
      <c r="A261" t="str">
        <v>S8-WBL2430</v>
      </c>
      <c r="E261" t="b">
        <f>IF(OR(B261=TRUE,C261=TRUE,D261=TRUE),FALSE,TRUE)</f>
        <v>1</v>
      </c>
      <c r="G261" t="str">
        <v>MWC2430</v>
      </c>
      <c r="H261" t="str">
        <f>IF(ISNUMBER(SEARCH("muf",A261)),"Chêne blanc","Blanc")</f>
        <v>Blanc</v>
      </c>
      <c r="I261" t="str">
        <f>CONCAT(G261,IF(H261="","",IF(H261="Blanc","-CW","-WWO")))</f>
        <v>MWC2430-CW</v>
      </c>
      <c r="J261" t="str">
        <v>wall-cabinet</v>
      </c>
      <c r="K261" t="str">
        <v>microwave</v>
      </c>
      <c r="L261" t="str">
        <f>IFERROR(VLOOKUP(J261,Categories!$A$2:$C$41,3,FALSE()),"⚠ slug introuvable")</f>
        <v>Armoire murale</v>
      </c>
      <c r="M261" t="str">
        <f>IFERROR(VLOOKUP(K261,Categories!$A$2:$C$41,3,FALSE()),"⚠ slug introuvable")</f>
        <v>Micro-ondes</v>
      </c>
      <c r="N261" t="str">
        <v>Armoire de cuisine du haut avec espace micro-ondes et 2 portes</v>
      </c>
      <c r="O261" t="str">
        <f>CONCAT(N261," (",AA261,""" x ",AB261,""")")</f>
        <v>Armoire de cuisine du haut avec espace micro-ondes et 2 portes (24" x 30")</v>
      </c>
      <c r="P261" t="str">
        <f>CONCAT("Micro-ondes"," (",AA261,""" x ",AB261,""")")</f>
        <v>Micro-ondes (24" x 30")</v>
      </c>
      <c r="Q261" s="1">
        <v>647</v>
      </c>
      <c r="R261" s="1">
        <f>Q261/11.25</f>
        <v>57.51111111111111</v>
      </c>
      <c r="S261" s="1">
        <f>R261*1.4</f>
        <v>80.51555555555555</v>
      </c>
      <c r="T261" s="1">
        <f>S261*1.1</f>
        <v>88.56711111111112</v>
      </c>
      <c r="U261" s="1">
        <f>T261*1.2</f>
        <v>106.28053333333334</v>
      </c>
      <c r="V261" s="1">
        <f>U261*1.2</f>
        <v>127.53664</v>
      </c>
      <c r="W261" s="1">
        <f>V261*1.1</f>
        <v>140.29030400000002</v>
      </c>
      <c r="X261" s="1">
        <f>W261</f>
        <v>140.29030400000002</v>
      </c>
      <c r="Y261" s="2">
        <v>0.4</v>
      </c>
      <c r="Z261" s="1">
        <f>X261*(1+Y261)</f>
        <v>196.4064256</v>
      </c>
      <c r="AA261">
        <v>24</v>
      </c>
      <c r="AB261">
        <v>30</v>
      </c>
      <c r="AC261">
        <v>12</v>
      </c>
      <c r="AD261">
        <v>2</v>
      </c>
      <c r="AE261">
        <v>0</v>
      </c>
      <c r="AF261" t="str">
        <v>Wall kitchen cabinet with microwave space and 2 doors (24" x 30")</v>
      </c>
      <c r="AG261" t="str">
        <v>Microwave (24" x 30")</v>
      </c>
    </row>
    <row r="262" hidden="1">
      <c r="A262" t="str">
        <v>S8-WBL2436</v>
      </c>
      <c r="E262" t="b">
        <f>IF(OR(B262=TRUE,C262=TRUE,D262=TRUE),FALSE,TRUE)</f>
        <v>1</v>
      </c>
      <c r="G262" t="str">
        <v>MWC2436</v>
      </c>
      <c r="H262" t="str">
        <f>IF(ISNUMBER(SEARCH("muf",A262)),"Chêne blanc","Blanc")</f>
        <v>Blanc</v>
      </c>
      <c r="I262" t="str">
        <f>CONCAT(G262,IF(H262="","",IF(H262="Blanc","-CW","-WWO")))</f>
        <v>MWC2436-CW</v>
      </c>
      <c r="J262" t="str">
        <v>wall-cabinet</v>
      </c>
      <c r="K262" t="str">
        <v>microwave</v>
      </c>
      <c r="L262" t="str">
        <f>IFERROR(VLOOKUP(J262,Categories!$A$2:$C$41,3,FALSE()),"⚠ slug introuvable")</f>
        <v>Armoire murale</v>
      </c>
      <c r="M262" t="str">
        <f>IFERROR(VLOOKUP(K262,Categories!$A$2:$C$41,3,FALSE()),"⚠ slug introuvable")</f>
        <v>Micro-ondes</v>
      </c>
      <c r="N262" t="str">
        <v>Armoire de cuisine du haut avec espace micro-ondes et 2 portes</v>
      </c>
      <c r="O262" t="str">
        <f>CONCAT(N262," (",AA262,""" x ",AB262,""")")</f>
        <v>Armoire de cuisine du haut avec espace micro-ondes et 2 portes (24" x 36")</v>
      </c>
      <c r="P262" t="str">
        <f>CONCAT("Micro-ondes"," (",AA262,""" x ",AB262,""")")</f>
        <v>Micro-ondes (24" x 36")</v>
      </c>
      <c r="Q262" s="1">
        <v>720</v>
      </c>
      <c r="R262" s="1">
        <f>Q262/11.25</f>
        <v>64</v>
      </c>
      <c r="S262" s="1">
        <f>R262*1.4</f>
        <v>89.6</v>
      </c>
      <c r="T262" s="1">
        <f>S262*1.1</f>
        <v>98.56</v>
      </c>
      <c r="U262" s="1">
        <f>T262*1.2</f>
        <v>118.27199999999999</v>
      </c>
      <c r="V262" s="1">
        <f>U262*1.2</f>
        <v>141.92639999999997</v>
      </c>
      <c r="W262" s="1">
        <f>V262*1.1</f>
        <v>156.11903999999998</v>
      </c>
      <c r="X262" s="1">
        <f>W262</f>
        <v>156.11903999999998</v>
      </c>
      <c r="Y262" s="2">
        <v>0.4</v>
      </c>
      <c r="Z262" s="1">
        <f>X262*(1+Y262)</f>
        <v>218.56665599999997</v>
      </c>
      <c r="AA262">
        <v>24</v>
      </c>
      <c r="AB262">
        <v>36</v>
      </c>
      <c r="AC262">
        <v>12</v>
      </c>
      <c r="AD262">
        <v>2</v>
      </c>
      <c r="AE262">
        <v>0</v>
      </c>
      <c r="AF262" t="str">
        <v>Wall kitchen cabinet with microwave space and 2 doors (24" x 36")</v>
      </c>
      <c r="AG262" t="str">
        <v>Microwave (24" x 36")</v>
      </c>
    </row>
    <row r="263" hidden="1">
      <c r="A263" t="str">
        <v>S8-WBL2730</v>
      </c>
      <c r="E263" t="b">
        <f>IF(OR(B263=TRUE,C263=TRUE,D263=TRUE),FALSE,TRUE)</f>
        <v>1</v>
      </c>
      <c r="G263" t="str">
        <v>MWC2730</v>
      </c>
      <c r="H263" t="str">
        <f>IF(ISNUMBER(SEARCH("muf",A263)),"Chêne blanc","Blanc")</f>
        <v>Blanc</v>
      </c>
      <c r="I263" t="str">
        <f>CONCAT(G263,IF(H263="","",IF(H263="Blanc","-CW","-WWO")))</f>
        <v>MWC2730-CW</v>
      </c>
      <c r="J263" t="str">
        <v>wall-cabinet</v>
      </c>
      <c r="K263" t="str">
        <v>microwave</v>
      </c>
      <c r="L263" t="str">
        <f>IFERROR(VLOOKUP(J263,Categories!$A$2:$C$41,3,FALSE()),"⚠ slug introuvable")</f>
        <v>Armoire murale</v>
      </c>
      <c r="M263" t="str">
        <f>IFERROR(VLOOKUP(K263,Categories!$A$2:$C$41,3,FALSE()),"⚠ slug introuvable")</f>
        <v>Micro-ondes</v>
      </c>
      <c r="N263" t="str">
        <v>Armoire de cuisine du haut avec espace micro-ondes et 2 portes</v>
      </c>
      <c r="O263" t="str">
        <f>CONCAT(N263," (",AA263,""" x ",AB263,""")")</f>
        <v>Armoire de cuisine du haut avec espace micro-ondes et 2 portes (27" x 30")</v>
      </c>
      <c r="P263" t="str">
        <f>CONCAT("Micro-ondes"," (",AA263,""" x ",AB263,""")")</f>
        <v>Micro-ondes (27" x 30")</v>
      </c>
      <c r="Q263" s="1">
        <v>681</v>
      </c>
      <c r="R263" s="1">
        <f>Q263/11.25</f>
        <v>60.53333333333333</v>
      </c>
      <c r="S263" s="1">
        <f>R263*1.4</f>
        <v>84.74666666666666</v>
      </c>
      <c r="T263" s="1">
        <f>S263*1.1</f>
        <v>93.22133333333333</v>
      </c>
      <c r="U263" s="1">
        <f>T263*1.2</f>
        <v>111.8656</v>
      </c>
      <c r="V263" s="1">
        <f>U263*1.2</f>
        <v>134.23872</v>
      </c>
      <c r="W263" s="1">
        <f>V263*1.1</f>
        <v>147.66259200000002</v>
      </c>
      <c r="X263" s="1">
        <f>W263</f>
        <v>147.66259200000002</v>
      </c>
      <c r="Y263" s="2">
        <v>0.4</v>
      </c>
      <c r="Z263" s="1">
        <f>X263*(1+Y263)</f>
        <v>206.72762880000002</v>
      </c>
      <c r="AA263">
        <v>27</v>
      </c>
      <c r="AB263">
        <v>30</v>
      </c>
      <c r="AC263">
        <v>12</v>
      </c>
      <c r="AD263">
        <v>2</v>
      </c>
      <c r="AE263">
        <v>0</v>
      </c>
      <c r="AF263" t="str">
        <v>Wall kitchen cabinet with microwave space and 2 doors (27" x 30")</v>
      </c>
      <c r="AG263" t="str">
        <v>Microwave (27" x 30")</v>
      </c>
    </row>
    <row r="264" hidden="1">
      <c r="A264" t="str">
        <v>S8-WBL2736</v>
      </c>
      <c r="E264" t="b">
        <f>IF(OR(B264=TRUE,C264=TRUE,D264=TRUE),FALSE,TRUE)</f>
        <v>1</v>
      </c>
      <c r="G264" t="str">
        <v>MWC2736</v>
      </c>
      <c r="H264" t="str">
        <f>IF(ISNUMBER(SEARCH("muf",A264)),"Chêne blanc","Blanc")</f>
        <v>Blanc</v>
      </c>
      <c r="I264" t="str">
        <f>CONCAT(G264,IF(H264="","",IF(H264="Blanc","-CW","-WWO")))</f>
        <v>MWC2736-CW</v>
      </c>
      <c r="J264" t="str">
        <v>wall-cabinet</v>
      </c>
      <c r="K264" t="str">
        <v>microwave</v>
      </c>
      <c r="L264" t="str">
        <f>IFERROR(VLOOKUP(J264,Categories!$A$2:$C$41,3,FALSE()),"⚠ slug introuvable")</f>
        <v>Armoire murale</v>
      </c>
      <c r="M264" t="str">
        <f>IFERROR(VLOOKUP(K264,Categories!$A$2:$C$41,3,FALSE()),"⚠ slug introuvable")</f>
        <v>Micro-ondes</v>
      </c>
      <c r="N264" t="str">
        <v>Armoire de cuisine du haut avec espace micro-ondes et 2 portes</v>
      </c>
      <c r="O264" t="str">
        <f>CONCAT(N264," (",AA264,""" x ",AB264,""")")</f>
        <v>Armoire de cuisine du haut avec espace micro-ondes et 2 portes (27" x 36")</v>
      </c>
      <c r="P264" t="str">
        <f>CONCAT("Micro-ondes"," (",AA264,""" x ",AB264,""")")</f>
        <v>Micro-ondes (27" x 36")</v>
      </c>
      <c r="Q264" s="1">
        <v>754</v>
      </c>
      <c r="R264" s="1">
        <f>Q264/11.25</f>
        <v>67.02222222222223</v>
      </c>
      <c r="S264" s="1">
        <f>R264*1.4</f>
        <v>93.83111111111111</v>
      </c>
      <c r="T264" s="1">
        <f>S264*1.1</f>
        <v>103.21422222222223</v>
      </c>
      <c r="U264" s="1">
        <f>T264*1.2</f>
        <v>123.85706666666667</v>
      </c>
      <c r="V264" s="1">
        <f>U264*1.2</f>
        <v>148.62848</v>
      </c>
      <c r="W264" s="1">
        <f>V264*1.1</f>
        <v>163.491328</v>
      </c>
      <c r="X264" s="1">
        <f>W264</f>
        <v>163.491328</v>
      </c>
      <c r="Y264" s="2">
        <v>0.4</v>
      </c>
      <c r="Z264" s="1">
        <f>X264*(1+Y264)</f>
        <v>228.8878592</v>
      </c>
      <c r="AA264">
        <v>27</v>
      </c>
      <c r="AB264">
        <v>36</v>
      </c>
      <c r="AC264">
        <v>12</v>
      </c>
      <c r="AD264">
        <v>2</v>
      </c>
      <c r="AE264">
        <v>0</v>
      </c>
      <c r="AF264" t="str">
        <v>Wall kitchen cabinet with microwave space and 2 doors (27" x 36")</v>
      </c>
      <c r="AG264" t="str">
        <v>Microwave (27" x 36")</v>
      </c>
    </row>
    <row r="265" hidden="1">
      <c r="A265" t="str">
        <v>S8-WBL2748</v>
      </c>
      <c r="E265" t="b">
        <f>IF(OR(B265=TRUE,C265=TRUE,D265=TRUE),FALSE,TRUE)</f>
        <v>1</v>
      </c>
      <c r="G265" t="str">
        <v>MWC2748</v>
      </c>
      <c r="H265" t="str">
        <f>IF(ISNUMBER(SEARCH("muf",A265)),"Chêne blanc","Blanc")</f>
        <v>Blanc</v>
      </c>
      <c r="I265" t="str">
        <f>CONCAT(G265,IF(H265="","",IF(H265="Blanc","-CW","-WWO")))</f>
        <v>MWC2748-CW</v>
      </c>
      <c r="J265" t="str">
        <v>wall-cabinet</v>
      </c>
      <c r="K265" t="str">
        <v>microwave</v>
      </c>
      <c r="L265" t="str">
        <f>IFERROR(VLOOKUP(J265,Categories!$A$2:$C$41,3,FALSE()),"⚠ slug introuvable")</f>
        <v>Armoire murale</v>
      </c>
      <c r="M265" t="str">
        <f>IFERROR(VLOOKUP(K265,Categories!$A$2:$C$41,3,FALSE()),"⚠ slug introuvable")</f>
        <v>Micro-ondes</v>
      </c>
      <c r="N265" t="str">
        <v>Armoire de cuisine du haut avec espace micro-ondes et 2 portes</v>
      </c>
      <c r="O265" t="str">
        <f>CONCAT(N265," (",AA265,""" x ",AB265,""")")</f>
        <v>Armoire de cuisine du haut avec espace micro-ondes et 2 portes (27" x 48")</v>
      </c>
      <c r="P265" t="str">
        <f>CONCAT("Micro-ondes"," (",AA265,""" x ",AB265,""")")</f>
        <v>Micro-ondes (27" x 48")</v>
      </c>
      <c r="Q265" s="1">
        <v>872</v>
      </c>
      <c r="R265" s="1">
        <f>Q265/11.25</f>
        <v>77.5111111111111</v>
      </c>
      <c r="S265" s="1">
        <f>R265*1.4</f>
        <v>108.51555555555554</v>
      </c>
      <c r="T265" s="1">
        <f>S265*1.1</f>
        <v>119.3671111111111</v>
      </c>
      <c r="U265" s="1">
        <f>T265*1.2</f>
        <v>143.2405333333333</v>
      </c>
      <c r="V265" s="1">
        <f>U265*1.2</f>
        <v>171.88863999999995</v>
      </c>
      <c r="W265" s="1">
        <f>V265*1.1</f>
        <v>189.07750399999998</v>
      </c>
      <c r="X265" s="1">
        <f>W265</f>
        <v>189.07750399999998</v>
      </c>
      <c r="Y265" s="2">
        <v>0.4</v>
      </c>
      <c r="Z265" s="1">
        <f>X265*(1+Y265)</f>
        <v>264.70850559999997</v>
      </c>
      <c r="AA265">
        <v>27</v>
      </c>
      <c r="AB265">
        <v>48</v>
      </c>
      <c r="AC265">
        <v>12</v>
      </c>
      <c r="AD265">
        <v>2</v>
      </c>
      <c r="AE265">
        <v>0</v>
      </c>
      <c r="AF265" t="str">
        <v>Wall kitchen cabinet with microwave space and 2 doors (27" x 48")</v>
      </c>
      <c r="AG265" t="str">
        <v>Microwave (27" x 48")</v>
      </c>
    </row>
    <row r="266" hidden="1">
      <c r="A266" t="str">
        <v>S8-WDC2430</v>
      </c>
      <c r="E266" t="b">
        <f>IF(OR(B266=TRUE,C266=TRUE,D266=TRUE),FALSE,TRUE)</f>
        <v>1</v>
      </c>
      <c r="G266" t="str">
        <v>CDWC2430</v>
      </c>
      <c r="H266" t="str">
        <f>IF(ISNUMBER(SEARCH("muf",A266)),"Chêne blanc","Blanc")</f>
        <v>Blanc</v>
      </c>
      <c r="I266" t="str">
        <f>CONCAT(G266,IF(H266="","",IF(H266="Blanc","-CW","-WWO")))</f>
        <v>CDWC2430-CW</v>
      </c>
      <c r="J266" t="str">
        <v>wall-cabinet</v>
      </c>
      <c r="K266" t="str">
        <v>corner</v>
      </c>
      <c r="L266" t="str">
        <f>IFERROR(VLOOKUP(J266,Categories!$A$2:$C$41,3,FALSE()),"⚠ slug introuvable")</f>
        <v>Armoire murale</v>
      </c>
      <c r="M266" t="str">
        <f>IFERROR(VLOOKUP(K266,Categories!$A$2:$C$41,3,FALSE()),"⚠ slug introuvable")</f>
        <v>Coin</v>
      </c>
      <c r="N266" t="str">
        <v>Armoire de cuisine du haut coin 45º</v>
      </c>
      <c r="O266" t="str">
        <f>CONCAT(N266," (",AA266,""" x ",AB266,""")")</f>
        <v>Armoire de cuisine du haut coin 45º (24" x 30")</v>
      </c>
      <c r="P266" t="str">
        <f>CONCAT("Coin 45º"," (",AA266,""" x ",AB266,""")")</f>
        <v>Coin 45º (24" x 30")</v>
      </c>
      <c r="Q266" s="1">
        <v>783</v>
      </c>
      <c r="R266" s="1">
        <f>Q266/11.25</f>
        <v>69.6</v>
      </c>
      <c r="S266" s="1">
        <f>R266*1.4</f>
        <v>97.43999999999998</v>
      </c>
      <c r="T266" s="1">
        <f>S266*1.1</f>
        <v>107.184</v>
      </c>
      <c r="U266" s="1">
        <f>T266*1.2</f>
        <v>128.6208</v>
      </c>
      <c r="V266" s="1">
        <f>U266*1.2</f>
        <v>154.34496</v>
      </c>
      <c r="W266" s="1">
        <f>V266*1.1</f>
        <v>169.779456</v>
      </c>
      <c r="X266" s="1">
        <f>W266</f>
        <v>169.779456</v>
      </c>
      <c r="Y266" s="2">
        <v>0.4</v>
      </c>
      <c r="Z266" s="1">
        <f>X266*(1+Y266)</f>
        <v>237.6912384</v>
      </c>
      <c r="AA266">
        <v>24</v>
      </c>
      <c r="AB266">
        <v>30</v>
      </c>
      <c r="AC266">
        <v>12</v>
      </c>
      <c r="AD266">
        <v>1</v>
      </c>
      <c r="AE266">
        <v>0</v>
      </c>
      <c r="AF266" t="str">
        <v>Wall kitchen corner cabinet 45º (24" x 30")</v>
      </c>
      <c r="AG266" t="str">
        <v>45º corner (24" x 30")</v>
      </c>
    </row>
    <row r="267" hidden="1">
      <c r="A267" t="str">
        <v>S8-WDC2436</v>
      </c>
      <c r="E267" t="b">
        <f>IF(OR(B267=TRUE,C267=TRUE,D267=TRUE),FALSE,TRUE)</f>
        <v>1</v>
      </c>
      <c r="G267" t="str">
        <v>CDWC2436</v>
      </c>
      <c r="H267" t="str">
        <f>IF(ISNUMBER(SEARCH("muf",A267)),"Chêne blanc","Blanc")</f>
        <v>Blanc</v>
      </c>
      <c r="I267" t="str">
        <f>CONCAT(G267,IF(H267="","",IF(H267="Blanc","-CW","-WWO")))</f>
        <v>CDWC2436-CW</v>
      </c>
      <c r="J267" t="str">
        <v>wall-cabinet</v>
      </c>
      <c r="K267" t="str">
        <v>corner</v>
      </c>
      <c r="L267" t="str">
        <f>IFERROR(VLOOKUP(J267,Categories!$A$2:$C$41,3,FALSE()),"⚠ slug introuvable")</f>
        <v>Armoire murale</v>
      </c>
      <c r="M267" t="str">
        <f>IFERROR(VLOOKUP(K267,Categories!$A$2:$C$41,3,FALSE()),"⚠ slug introuvable")</f>
        <v>Coin</v>
      </c>
      <c r="N267" t="str">
        <v>Armoire de cuisine du haut coin 45º</v>
      </c>
      <c r="O267" t="str">
        <f>CONCAT(N267," (",AA267,""" x ",AB267,""")")</f>
        <v>Armoire de cuisine du haut coin 45º (24" x 36")</v>
      </c>
      <c r="P267" t="str">
        <f>CONCAT("Coin 45º"," (",AA267,""" x ",AB267,""")")</f>
        <v>Coin 45º (24" x 36")</v>
      </c>
      <c r="Q267" s="1">
        <v>833</v>
      </c>
      <c r="R267" s="1">
        <f>Q267/11.25</f>
        <v>74.04444444444445</v>
      </c>
      <c r="S267" s="1">
        <f>R267*1.4</f>
        <v>103.66222222222223</v>
      </c>
      <c r="T267" s="1">
        <f>S267*1.1</f>
        <v>114.02844444444446</v>
      </c>
      <c r="U267" s="1">
        <f>T267*1.2</f>
        <v>136.83413333333334</v>
      </c>
      <c r="V267" s="1">
        <f>U267*1.2</f>
        <v>164.20096</v>
      </c>
      <c r="W267" s="1">
        <f>V267*1.1</f>
        <v>180.62105600000004</v>
      </c>
      <c r="X267" s="1">
        <f>W267</f>
        <v>180.62105600000004</v>
      </c>
      <c r="Y267" s="2">
        <v>0.4</v>
      </c>
      <c r="Z267" s="1">
        <f>X267*(1+Y267)</f>
        <v>252.86947840000005</v>
      </c>
      <c r="AA267">
        <v>24</v>
      </c>
      <c r="AB267">
        <v>36</v>
      </c>
      <c r="AC267">
        <v>12</v>
      </c>
      <c r="AD267">
        <v>1</v>
      </c>
      <c r="AE267">
        <v>0</v>
      </c>
      <c r="AF267" t="str">
        <v>Wall kitchen corner cabinet 45º (24" x 36")</v>
      </c>
      <c r="AG267" t="str">
        <v>45º corner (24" x 36")</v>
      </c>
    </row>
    <row r="268" hidden="1">
      <c r="A268" t="str">
        <v>S8-WDC2436-Door</v>
      </c>
      <c r="B268" t="b">
        <v>1</v>
      </c>
      <c r="E268" t="b">
        <f>IF(OR(B268=TRUE,C268=TRUE,D268=TRUE),FALSE,TRUE)</f>
        <v>0</v>
      </c>
      <c r="H268" t="str">
        <f>IF(ISNUMBER(SEARCH("muf",A268)),"Chêne blanc","Blanc")</f>
        <v>Blanc</v>
      </c>
      <c r="I268" t="str">
        <f>CONCAT(G268,IF(H268="","",IF(H268="Blanc","-CW","-WWO")))</f>
        <v>-CW</v>
      </c>
      <c r="K268" t="str">
        <v>wall-cabinet-corner-45deg</v>
      </c>
      <c r="M268" t="str">
        <f>IFERROR(VLOOKUP(K268,Categories!$A$2:$C$41,3,FALSE()),"⚠ slug introuvable")</f>
        <v>⚠ slug introuvable</v>
      </c>
      <c r="N268" t="str">
        <v>WDC2436-Door</v>
      </c>
      <c r="R268" s="1">
        <f>Q268/11.25</f>
        <v>0</v>
      </c>
      <c r="S268" s="1">
        <f>R268*1.4</f>
        <v>0</v>
      </c>
      <c r="T268" s="1">
        <f>S268*1.1</f>
        <v>0</v>
      </c>
      <c r="U268" s="1">
        <f>T268*1.2</f>
        <v>0</v>
      </c>
      <c r="V268" s="1">
        <f>U268*1.2</f>
        <v>0</v>
      </c>
      <c r="W268" s="1">
        <f>V268*1.1</f>
        <v>0</v>
      </c>
      <c r="X268" s="1">
        <f>W268</f>
        <v>0</v>
      </c>
      <c r="Y268" s="2">
        <v>0.4</v>
      </c>
      <c r="Z268" s="1">
        <f>X268*(1+Y268)</f>
        <v>0</v>
      </c>
      <c r="AA268">
        <v>24</v>
      </c>
      <c r="AB268">
        <v>36</v>
      </c>
      <c r="AC268">
        <v>12</v>
      </c>
      <c r="AD268">
        <v>2</v>
      </c>
      <c r="AE268">
        <v>0</v>
      </c>
    </row>
    <row r="269" hidden="1">
      <c r="A269" t="str">
        <v>S8-WDC2448</v>
      </c>
      <c r="E269" t="b">
        <f>IF(OR(B269=TRUE,C269=TRUE,D269=TRUE),FALSE,TRUE)</f>
        <v>1</v>
      </c>
      <c r="G269" t="str">
        <v>CDWC2448</v>
      </c>
      <c r="H269" t="str">
        <f>IF(ISNUMBER(SEARCH("muf",A269)),"Chêne blanc","Blanc")</f>
        <v>Blanc</v>
      </c>
      <c r="I269" t="str">
        <f>CONCAT(G269,IF(H269="","",IF(H269="Blanc","-CW","-WWO")))</f>
        <v>CDWC2448-CW</v>
      </c>
      <c r="J269" t="str">
        <v>wall-cabinet</v>
      </c>
      <c r="K269" t="str">
        <v>corner</v>
      </c>
      <c r="L269" t="str">
        <f>IFERROR(VLOOKUP(J269,Categories!$A$2:$C$41,3,FALSE()),"⚠ slug introuvable")</f>
        <v>Armoire murale</v>
      </c>
      <c r="M269" t="str">
        <f>IFERROR(VLOOKUP(K269,Categories!$A$2:$C$41,3,FALSE()),"⚠ slug introuvable")</f>
        <v>Coin</v>
      </c>
      <c r="N269" t="str">
        <v>Armoire de cuisine du haut coin 45º</v>
      </c>
      <c r="O269" t="str">
        <f>CONCAT(N269," (",AA269,""" x ",AB269,""")")</f>
        <v>Armoire de cuisine du haut coin 45º (24" x 48")</v>
      </c>
      <c r="P269" t="str">
        <f>CONCAT("Coin 45º"," (",AA269,""" x ",AB269,""")")</f>
        <v>Coin 45º (24" x 48")</v>
      </c>
      <c r="Q269" s="1">
        <v>1207</v>
      </c>
      <c r="R269" s="1">
        <f>Q269/11.25</f>
        <v>107.28888888888889</v>
      </c>
      <c r="S269" s="1">
        <f>R269*1.4</f>
        <v>150.20444444444445</v>
      </c>
      <c r="T269" s="1">
        <f>S269*1.1</f>
        <v>165.2248888888889</v>
      </c>
      <c r="U269" s="1">
        <f>T269*1.2</f>
        <v>198.26986666666667</v>
      </c>
      <c r="V269" s="1">
        <f>U269*1.2</f>
        <v>237.92383999999998</v>
      </c>
      <c r="W269" s="1">
        <f>V269*1.1</f>
        <v>261.716224</v>
      </c>
      <c r="X269" s="1">
        <f>W269</f>
        <v>261.716224</v>
      </c>
      <c r="Y269" s="2">
        <v>0.4</v>
      </c>
      <c r="Z269" s="1">
        <f>X269*(1+Y269)</f>
        <v>366.40271359999997</v>
      </c>
      <c r="AA269">
        <v>24</v>
      </c>
      <c r="AB269">
        <v>48</v>
      </c>
      <c r="AC269">
        <v>12</v>
      </c>
      <c r="AD269">
        <v>1</v>
      </c>
      <c r="AE269">
        <v>0</v>
      </c>
      <c r="AF269" t="str">
        <v>Wall kitchen corner cabinet 45º (24" x 48")</v>
      </c>
      <c r="AG269" t="str">
        <v>45º corner (24" x 48")</v>
      </c>
    </row>
    <row r="270" hidden="1">
      <c r="A270" t="str">
        <v>S8-WDD12.75*36</v>
      </c>
      <c r="E270" t="b">
        <f>IF(OR(B270=TRUE,C270=TRUE,D270=TRUE),FALSE,TRUE)</f>
        <v>1</v>
      </c>
      <c r="G270" t="str">
        <v>DDWC12.75-36</v>
      </c>
      <c r="H270" t="str">
        <f>IF(ISNUMBER(SEARCH("muf",A270)),"Chêne blanc","Blanc")</f>
        <v>Blanc</v>
      </c>
      <c r="I270" t="str">
        <f>CONCAT(G270,IF(H270="","",IF(H270="Blanc","-CW","-WWO")))</f>
        <v>DDWC12.75-36-CW</v>
      </c>
      <c r="J270" t="str">
        <v>fillers-panels-moldings</v>
      </c>
      <c r="K270" t="str">
        <v>dummy-door</v>
      </c>
      <c r="L270" t="str">
        <f>IFERROR(VLOOKUP(J270,Categories!$A$2:$C$41,3,FALSE()),"⚠ slug introuvable")</f>
        <v>Fillers, panneaux &amp; moulures</v>
      </c>
      <c r="M270" t="str">
        <f>IFERROR(VLOOKUP(K270,Categories!$A$2:$C$41,3,FALSE()),"⚠ slug introuvable")</f>
        <v>Fausse porte</v>
      </c>
      <c r="N270" t="str">
        <v>Fausse porte pour armoire de cuisine du haut</v>
      </c>
      <c r="O270" t="str">
        <f>CONCAT(N270," (",AA270,""" x ",AB270,""")")</f>
        <v>Fausse porte pour armoire de cuisine du haut (12.75" x 36")</v>
      </c>
      <c r="P270" t="str">
        <f>CONCAT("Fausse porte - Haut"," (",AA270,""" x ",AB270,""")")</f>
        <v>Fausse porte - Haut (12.75" x 36")</v>
      </c>
      <c r="Q270" s="1">
        <v>179</v>
      </c>
      <c r="R270" s="1">
        <f>Q270/11.25</f>
        <v>15.911111111111111</v>
      </c>
      <c r="S270" s="1">
        <f>R270*1.4</f>
        <v>22.275555555555556</v>
      </c>
      <c r="T270" s="1">
        <f>S270*1.1</f>
        <v>24.503111111111114</v>
      </c>
      <c r="U270" s="1">
        <f>T270*1.2</f>
        <v>29.403733333333335</v>
      </c>
      <c r="V270" s="1">
        <f>U270*1.2</f>
        <v>35.28448</v>
      </c>
      <c r="W270" s="1">
        <f>V270*1.1</f>
        <v>38.81292800000001</v>
      </c>
      <c r="X270" s="1">
        <f>W270</f>
        <v>38.81292800000001</v>
      </c>
      <c r="Y270" s="2">
        <v>0.4</v>
      </c>
      <c r="Z270" s="1">
        <f>X270*(1+Y270)</f>
        <v>54.33809920000001</v>
      </c>
      <c r="AA270">
        <v>12.75</v>
      </c>
      <c r="AB270">
        <v>36</v>
      </c>
      <c r="AC270">
        <v>0.75</v>
      </c>
      <c r="AD270" t="str">
        <v>N/A</v>
      </c>
      <c r="AE270" t="str">
        <v>N/A</v>
      </c>
      <c r="AF270" t="str">
        <v>Dummy door for wall kitchen cabinet (12.75" x 36")</v>
      </c>
      <c r="AG270" t="str">
        <v>Dummy door - Wall (12.75" x 36")</v>
      </c>
    </row>
    <row r="271" hidden="1">
      <c r="A271" t="str">
        <v>S8-WDD12.75*48</v>
      </c>
      <c r="E271" t="b">
        <f>IF(OR(B271=TRUE,C271=TRUE,D271=TRUE),FALSE,TRUE)</f>
        <v>1</v>
      </c>
      <c r="G271" t="str">
        <v>DDWC12.75-48</v>
      </c>
      <c r="H271" t="str">
        <f>IF(ISNUMBER(SEARCH("muf",A271)),"Chêne blanc","Blanc")</f>
        <v>Blanc</v>
      </c>
      <c r="I271" t="str">
        <f>CONCAT(G271,IF(H271="","",IF(H271="Blanc","-CW","-WWO")))</f>
        <v>DDWC12.75-48-CW</v>
      </c>
      <c r="J271" t="str">
        <v>fillers-panels-moldings</v>
      </c>
      <c r="K271" t="str">
        <v>dummy-door</v>
      </c>
      <c r="L271" t="str">
        <f>IFERROR(VLOOKUP(J271,Categories!$A$2:$C$41,3,FALSE()),"⚠ slug introuvable")</f>
        <v>Fillers, panneaux &amp; moulures</v>
      </c>
      <c r="M271" t="str">
        <f>IFERROR(VLOOKUP(K271,Categories!$A$2:$C$41,3,FALSE()),"⚠ slug introuvable")</f>
        <v>Fausse porte</v>
      </c>
      <c r="N271" t="str">
        <v>Fausse porte pour armoire de cuisine du haut</v>
      </c>
      <c r="O271" t="str">
        <f>CONCAT(N271," (",AA271,""" x ",AB271,""")")</f>
        <v>Fausse porte pour armoire de cuisine du haut (12.75" x 48")</v>
      </c>
      <c r="P271" t="str">
        <f>CONCAT("Fausse porte - Haut"," (",AA271,""" x ",AB271,""")")</f>
        <v>Fausse porte - Haut (12.75" x 48")</v>
      </c>
      <c r="Q271" s="1">
        <v>215</v>
      </c>
      <c r="R271" s="1">
        <f>Q271/11.25</f>
        <v>19.11111111111111</v>
      </c>
      <c r="S271" s="1">
        <f>R271*1.4</f>
        <v>26.755555555555553</v>
      </c>
      <c r="T271" s="1">
        <f>S271*1.1</f>
        <v>29.43111111111111</v>
      </c>
      <c r="U271" s="1">
        <f>T271*1.2</f>
        <v>35.31733333333333</v>
      </c>
      <c r="V271" s="1">
        <f>U271*1.2</f>
        <v>42.380799999999994</v>
      </c>
      <c r="W271" s="1">
        <f>V271*1.1</f>
        <v>46.61888</v>
      </c>
      <c r="X271" s="1">
        <f>W271</f>
        <v>46.61888</v>
      </c>
      <c r="Y271" s="2">
        <v>0.4</v>
      </c>
      <c r="Z271" s="1">
        <f>X271*(1+Y271)</f>
        <v>65.266432</v>
      </c>
      <c r="AA271">
        <v>12.75</v>
      </c>
      <c r="AB271">
        <v>48</v>
      </c>
      <c r="AC271">
        <v>0.75</v>
      </c>
      <c r="AD271" t="str">
        <v>N/A</v>
      </c>
      <c r="AE271" t="str">
        <v>N/A</v>
      </c>
      <c r="AF271" t="str">
        <v>Dummy door for wall kitchen cabinet (12.75" x 48")</v>
      </c>
      <c r="AG271" t="str">
        <v>Dummy door - Wall (12.75" x 48")</v>
      </c>
    </row>
    <row r="272" hidden="1">
      <c r="A272" t="str">
        <v>S8-WEP1330</v>
      </c>
      <c r="E272" t="b">
        <f>IF(OR(B272=TRUE,C272=TRUE,D272=TRUE),FALSE,TRUE)</f>
        <v>1</v>
      </c>
      <c r="G272" t="str">
        <v>WEP1330</v>
      </c>
      <c r="H272" t="str">
        <f>IF(ISNUMBER(SEARCH("muf",A272)),"Chêne blanc","Blanc")</f>
        <v>Blanc</v>
      </c>
      <c r="I272" t="str">
        <f>CONCAT(G272,IF(H272="","",IF(H272="Blanc","-CW","-WWO")))</f>
        <v>WEP1330-CW</v>
      </c>
      <c r="J272" t="str">
        <v>fillers-panels-moldings</v>
      </c>
      <c r="K272" t="str">
        <v>wall-end-panel</v>
      </c>
      <c r="L272" t="str">
        <f>IFERROR(VLOOKUP(J272,Categories!$A$2:$C$41,3,FALSE()),"⚠ slug introuvable")</f>
        <v>Fillers, panneaux &amp; moulures</v>
      </c>
      <c r="M272" t="str">
        <f>IFERROR(VLOOKUP(K272,Categories!$A$2:$C$41,3,FALSE()),"⚠ slug introuvable")</f>
        <v>Panneau mural</v>
      </c>
      <c r="N272" t="str">
        <v>Panneau pour armoires de cuisine du haut</v>
      </c>
      <c r="O272" t="str">
        <f>CONCAT(N272," (",AA272,""" x ",AB272,""")")</f>
        <v>Panneau pour armoires de cuisine du haut (13" x 30")</v>
      </c>
      <c r="P272" t="str">
        <f>CONCAT("Panneau - Haut"," (",AA272,""" x ",AB272,""")")</f>
        <v>Panneau - Haut (13" x 30")</v>
      </c>
      <c r="Q272" s="1">
        <v>136.25</v>
      </c>
      <c r="R272" s="1">
        <f>Q272/11.25</f>
        <v>12.11111111111111</v>
      </c>
      <c r="S272" s="1">
        <f>R272*1.4</f>
        <v>16.955555555555552</v>
      </c>
      <c r="T272" s="1">
        <f>S272*1.1</f>
        <v>18.65111111111111</v>
      </c>
      <c r="U272" s="1">
        <f>T272*1.2</f>
        <v>22.38133333333333</v>
      </c>
      <c r="V272" s="1">
        <f>U272*1.2</f>
        <v>26.857599999999994</v>
      </c>
      <c r="W272" s="1">
        <f>V272*1.1</f>
        <v>29.543359999999996</v>
      </c>
      <c r="X272" s="1">
        <f>W272</f>
        <v>29.543359999999996</v>
      </c>
      <c r="Y272" s="2">
        <v>0.4</v>
      </c>
      <c r="Z272" s="1">
        <f>X272*(1+Y272)</f>
        <v>41.36070399999999</v>
      </c>
      <c r="AA272">
        <v>13</v>
      </c>
      <c r="AB272">
        <v>30</v>
      </c>
      <c r="AC272">
        <v>0.75</v>
      </c>
      <c r="AD272" t="str">
        <v>N/A</v>
      </c>
      <c r="AE272" t="str">
        <v>N/A</v>
      </c>
      <c r="AF272" t="str">
        <v>Panel for wall kitchen cabinets (13" x 30")</v>
      </c>
      <c r="AG272" t="str">
        <v>Panel - Wall (13" x 30")</v>
      </c>
    </row>
    <row r="273" hidden="1">
      <c r="A273" t="str">
        <v>S8-WEP1336</v>
      </c>
      <c r="E273" t="b">
        <f>IF(OR(B273=TRUE,C273=TRUE,D273=TRUE),FALSE,TRUE)</f>
        <v>1</v>
      </c>
      <c r="G273" t="str">
        <v>WEP1336</v>
      </c>
      <c r="H273" t="str">
        <f>IF(ISNUMBER(SEARCH("muf",A273)),"Chêne blanc","Blanc")</f>
        <v>Blanc</v>
      </c>
      <c r="I273" t="str">
        <f>CONCAT(G273,IF(H273="","",IF(H273="Blanc","-CW","-WWO")))</f>
        <v>WEP1336-CW</v>
      </c>
      <c r="J273" t="str">
        <v>fillers-panels-moldings</v>
      </c>
      <c r="K273" t="str">
        <v>wall-end-panel</v>
      </c>
      <c r="L273" t="str">
        <f>IFERROR(VLOOKUP(J273,Categories!$A$2:$C$41,3,FALSE()),"⚠ slug introuvable")</f>
        <v>Fillers, panneaux &amp; moulures</v>
      </c>
      <c r="M273" t="str">
        <f>IFERROR(VLOOKUP(K273,Categories!$A$2:$C$41,3,FALSE()),"⚠ slug introuvable")</f>
        <v>Panneau mural</v>
      </c>
      <c r="N273" t="str">
        <v>Panneau pour armoires de cuisine du haut</v>
      </c>
      <c r="O273" t="str">
        <f>CONCAT(N273," (",AA273,""" x ",AB273,""")")</f>
        <v>Panneau pour armoires de cuisine du haut (13" x 36")</v>
      </c>
      <c r="P273" t="str">
        <f>CONCAT("Panneau - Haut"," (",AA273,""" x ",AB273,""")")</f>
        <v>Panneau - Haut (13" x 36")</v>
      </c>
      <c r="Q273" s="1">
        <v>136.25</v>
      </c>
      <c r="R273" s="1">
        <f>Q273/11.25</f>
        <v>12.11111111111111</v>
      </c>
      <c r="S273" s="1">
        <f>R273*1.4</f>
        <v>16.955555555555552</v>
      </c>
      <c r="T273" s="1">
        <f>S273*1.1</f>
        <v>18.65111111111111</v>
      </c>
      <c r="U273" s="1">
        <f>T273*1.2</f>
        <v>22.38133333333333</v>
      </c>
      <c r="V273" s="1">
        <f>U273*1.2</f>
        <v>26.857599999999994</v>
      </c>
      <c r="W273" s="1">
        <f>V273*1.1</f>
        <v>29.543359999999996</v>
      </c>
      <c r="X273" s="1">
        <f>W273</f>
        <v>29.543359999999996</v>
      </c>
      <c r="Y273" s="2">
        <v>0.4</v>
      </c>
      <c r="Z273" s="1">
        <f>X273*(1+Y273)</f>
        <v>41.36070399999999</v>
      </c>
      <c r="AA273">
        <v>13</v>
      </c>
      <c r="AB273">
        <v>36</v>
      </c>
      <c r="AC273">
        <v>0.75</v>
      </c>
      <c r="AD273" t="str">
        <v>N/A</v>
      </c>
      <c r="AE273" t="str">
        <v>N/A</v>
      </c>
      <c r="AF273" t="str">
        <v>Panel for wall kitchen cabinets (13" x 36")</v>
      </c>
      <c r="AG273" t="str">
        <v>Panel - Wall (13" x 36")</v>
      </c>
    </row>
    <row r="274" hidden="1">
      <c r="A274" t="str">
        <v>S8-WEP1348</v>
      </c>
      <c r="E274" t="b">
        <f>IF(OR(B274=TRUE,C274=TRUE,D274=TRUE),FALSE,TRUE)</f>
        <v>1</v>
      </c>
      <c r="G274" t="str">
        <v>WEP1349</v>
      </c>
      <c r="H274" t="str">
        <f>IF(ISNUMBER(SEARCH("muf",A274)),"Chêne blanc","Blanc")</f>
        <v>Blanc</v>
      </c>
      <c r="I274" t="str">
        <f>CONCAT(G274,IF(H274="","",IF(H274="Blanc","-CW","-WWO")))</f>
        <v>WEP1349-CW</v>
      </c>
      <c r="J274" t="str">
        <v>fillers-panels-moldings</v>
      </c>
      <c r="K274" t="str">
        <v>wall-end-panel</v>
      </c>
      <c r="L274" t="str">
        <f>IFERROR(VLOOKUP(J274,Categories!$A$2:$C$41,3,FALSE()),"⚠ slug introuvable")</f>
        <v>Fillers, panneaux &amp; moulures</v>
      </c>
      <c r="M274" t="str">
        <f>IFERROR(VLOOKUP(K274,Categories!$A$2:$C$41,3,FALSE()),"⚠ slug introuvable")</f>
        <v>Panneau mural</v>
      </c>
      <c r="N274" t="str">
        <v>Panneau pour armoires de cuisine du haut</v>
      </c>
      <c r="O274" t="str">
        <f>CONCAT(N274," (",AA274,""" x ",AB274,""")")</f>
        <v>Panneau pour armoires de cuisine du haut (13" x 48")</v>
      </c>
      <c r="P274" t="str">
        <f>CONCAT("Panneau - Haut"," (",AA274,""" x ",AB274,""")")</f>
        <v>Panneau - Haut (13" x 48")</v>
      </c>
      <c r="Q274" s="1">
        <v>180</v>
      </c>
      <c r="R274" s="1">
        <f>Q274/11.25</f>
        <v>16</v>
      </c>
      <c r="S274" s="1">
        <f>R274*1.4</f>
        <v>22.4</v>
      </c>
      <c r="T274" s="1">
        <f>S274*1.1</f>
        <v>24.64</v>
      </c>
      <c r="U274" s="1">
        <f>T274*1.2</f>
        <v>29.567999999999998</v>
      </c>
      <c r="V274" s="1">
        <f>U274*1.2</f>
        <v>35.48159999999999</v>
      </c>
      <c r="W274" s="1">
        <f>V274*1.1</f>
        <v>39.029759999999996</v>
      </c>
      <c r="X274" s="1">
        <f>W274</f>
        <v>39.029759999999996</v>
      </c>
      <c r="Y274" s="2">
        <v>0.4</v>
      </c>
      <c r="Z274" s="1">
        <f>X274*(1+Y274)</f>
        <v>54.64166399999999</v>
      </c>
      <c r="AA274">
        <v>13</v>
      </c>
      <c r="AB274">
        <v>48</v>
      </c>
      <c r="AC274">
        <v>0.75</v>
      </c>
      <c r="AD274" t="str">
        <v>N/A</v>
      </c>
      <c r="AE274" t="str">
        <v>N/A</v>
      </c>
      <c r="AF274" t="str">
        <v>Panel for wall kitchen cabinets (13" x 48")</v>
      </c>
      <c r="AG274" t="str">
        <v>Panel - Wall (13" x 48")</v>
      </c>
    </row>
    <row r="275" hidden="1">
      <c r="A275" t="str">
        <v>S8-WF1.5120</v>
      </c>
      <c r="E275" t="b">
        <f>IF(OR(B275=TRUE,C275=TRUE,D275=TRUE),FALSE,TRUE)</f>
        <v>1</v>
      </c>
      <c r="G275" t="str">
        <v>TF1.5-120</v>
      </c>
      <c r="H275" t="str">
        <f>IF(ISNUMBER(SEARCH("muf",A275)),"Chêne blanc","Blanc")</f>
        <v>Blanc</v>
      </c>
      <c r="I275" t="str">
        <f>CONCAT(G275,IF(H275="","",IF(H275="Blanc","-CW","-WWO")))</f>
        <v>TF1.5-120-CW</v>
      </c>
      <c r="J275" t="str">
        <v>fillers-panels-moldings</v>
      </c>
      <c r="K275" t="str">
        <v>fillers-base-wall-tall</v>
      </c>
      <c r="L275" t="str">
        <f>IFERROR(VLOOKUP(J275,Categories!$A$2:$C$41,3,FALSE()),"⚠ slug introuvable")</f>
        <v>Fillers, panneaux &amp; moulures</v>
      </c>
      <c r="M275" t="str">
        <f>IFERROR(VLOOKUP(K275,Categories!$A$2:$C$41,3,FALSE()),"⚠ slug introuvable")</f>
        <v>Fillers bas/mural/haut</v>
      </c>
      <c r="N275" t="str">
        <v>Filler pleine hauteur pour armoire de cuisine</v>
      </c>
      <c r="O275" t="str">
        <f>CONCAT(N275," (",AA275,""" x ",AB275,""")")</f>
        <v>Filler pleine hauteur pour armoire de cuisine (1.5" x 120")</v>
      </c>
      <c r="P275" t="str">
        <f>CONCAT("Filler pleine hauteur"," (",AA275,""" x ",AB275,""")")</f>
        <v>Filler pleine hauteur (1.5" x 120")</v>
      </c>
      <c r="Q275" s="1">
        <v>103</v>
      </c>
      <c r="R275" s="1">
        <f>Q275/11.25</f>
        <v>9.155555555555555</v>
      </c>
      <c r="S275" s="1">
        <f>R275*1.4</f>
        <v>12.817777777777776</v>
      </c>
      <c r="T275" s="1">
        <f>S275*1.1</f>
        <v>14.099555555555554</v>
      </c>
      <c r="U275" s="1">
        <f>T275*1.2</f>
        <v>16.919466666666665</v>
      </c>
      <c r="V275" s="1">
        <f>U275*1.2</f>
        <v>20.303359999999998</v>
      </c>
      <c r="W275" s="1">
        <f>V275*1.1</f>
        <v>22.333696</v>
      </c>
      <c r="X275" s="1">
        <f>W275</f>
        <v>22.333696</v>
      </c>
      <c r="Y275" s="2">
        <v>0.4</v>
      </c>
      <c r="Z275" s="1">
        <f>X275*(1+Y275)</f>
        <v>31.2671744</v>
      </c>
      <c r="AA275">
        <v>1.5</v>
      </c>
      <c r="AB275">
        <v>120</v>
      </c>
      <c r="AC275">
        <v>0.75</v>
      </c>
      <c r="AD275" t="str">
        <v>N/A</v>
      </c>
      <c r="AE275" t="str">
        <v>N/A</v>
      </c>
      <c r="AF275" t="str">
        <v>Full-height filler for kitchen cabinet (1.5" x 120")</v>
      </c>
      <c r="AG275" t="str">
        <v>Full-height filler (1.5" x 120")</v>
      </c>
    </row>
    <row r="276" hidden="1">
      <c r="A276" t="str">
        <v>S8-WF1.5120-muf</v>
      </c>
      <c r="E276" t="b">
        <f>IF(OR(B276=TRUE,C276=TRUE,D276=TRUE),FALSE,TRUE)</f>
        <v>1</v>
      </c>
      <c r="G276" t="str">
        <v>TF1.5-120</v>
      </c>
      <c r="H276" t="str">
        <f>IF(ISNUMBER(SEARCH("muf",A276)),"Chêne blanc","Blanc")</f>
        <v>Chêne blanc</v>
      </c>
      <c r="I276" t="str">
        <f>CONCAT(G276,IF(H276="","",IF(H276="Blanc","-CW","-WWO")))</f>
        <v>TF1.5-120-WWO</v>
      </c>
      <c r="J276" t="str">
        <f>IFERROR(VLOOKUP(K276,Categories!$A$2:$C$41,2,FALSE()),"⚠ slug introuvable")</f>
        <v>fillers-panels-moldings</v>
      </c>
      <c r="K276" t="str">
        <v>fillers-base-wall-tall</v>
      </c>
      <c r="L276" t="str">
        <f>IFERROR(VLOOKUP(J276,Categories!$A$2:$C$41,3,FALSE()),"⚠ slug introuvable")</f>
        <v>Fillers, panneaux &amp; moulures</v>
      </c>
      <c r="M276" t="str">
        <f>IFERROR(VLOOKUP(K276,Categories!$A$2:$C$41,3,FALSE()),"⚠ slug introuvable")</f>
        <v>Fillers bas/mural/haut</v>
      </c>
      <c r="N276" t="str">
        <v>Filler pleine hauteur pour armoire de cuisine</v>
      </c>
      <c r="O276" t="str">
        <f>CONCAT(N276," (",AA276,""" x ",AB276,""")")</f>
        <v>Filler pleine hauteur pour armoire de cuisine (1.5" x 120")</v>
      </c>
      <c r="P276" t="str">
        <f>CONCAT("Filler pleine hauteur"," (",AA276,""" x ",AB276,""")")</f>
        <v>Filler pleine hauteur (1.5" x 120")</v>
      </c>
      <c r="Q276" s="1">
        <v>167</v>
      </c>
      <c r="R276" s="1">
        <f>Q276/11.25</f>
        <v>14.844444444444445</v>
      </c>
      <c r="S276" s="1">
        <f>R276*1.4</f>
        <v>20.78222222222222</v>
      </c>
      <c r="T276" s="1">
        <f>S276*1.1</f>
        <v>22.860444444444443</v>
      </c>
      <c r="U276" s="1">
        <f>T276*1.2</f>
        <v>27.432533333333332</v>
      </c>
      <c r="V276" s="1">
        <f>U276*1.2</f>
        <v>32.919039999999995</v>
      </c>
      <c r="W276" s="1">
        <f>V276*1.1</f>
        <v>36.210944</v>
      </c>
      <c r="X276" s="1">
        <f>W276</f>
        <v>36.210944</v>
      </c>
      <c r="Y276" s="2">
        <v>0.4</v>
      </c>
      <c r="Z276" s="1">
        <f>X276*(1+Y276)</f>
        <v>50.69532159999999</v>
      </c>
      <c r="AA276">
        <v>1.5</v>
      </c>
      <c r="AB276">
        <v>120</v>
      </c>
      <c r="AC276">
        <v>0.75</v>
      </c>
      <c r="AD276" t="str">
        <v>N/A</v>
      </c>
      <c r="AE276" t="str">
        <v>N/A</v>
      </c>
      <c r="AF276" t="str">
        <v>Full-height filler for kitchen cabinet (1.5" x 120")</v>
      </c>
      <c r="AG276" t="str">
        <v>Full-height filler (1.5" x 120")</v>
      </c>
    </row>
    <row r="277" hidden="1">
      <c r="A277" t="str">
        <v>S8-WF1.596</v>
      </c>
      <c r="E277" t="b">
        <f>IF(OR(B277=TRUE,C277=TRUE,D277=TRUE),FALSE,TRUE)</f>
        <v>1</v>
      </c>
      <c r="G277" t="str">
        <v>TF1.5-96</v>
      </c>
      <c r="H277" t="str">
        <f>IF(ISNUMBER(SEARCH("muf",A277)),"Chêne blanc","Blanc")</f>
        <v>Blanc</v>
      </c>
      <c r="I277" t="str">
        <f>CONCAT(G277,IF(H277="","",IF(H277="Blanc","-CW","-WWO")))</f>
        <v>TF1.5-96-CW</v>
      </c>
      <c r="J277" t="str">
        <v>fillers-panels-moldings</v>
      </c>
      <c r="K277" t="str">
        <v>fillers-base-wall-tall</v>
      </c>
      <c r="L277" t="str">
        <f>IFERROR(VLOOKUP(J277,Categories!$A$2:$C$41,3,FALSE()),"⚠ slug introuvable")</f>
        <v>Fillers, panneaux &amp; moulures</v>
      </c>
      <c r="M277" t="str">
        <f>IFERROR(VLOOKUP(K277,Categories!$A$2:$C$41,3,FALSE()),"⚠ slug introuvable")</f>
        <v>Fillers bas/mural/haut</v>
      </c>
      <c r="N277" t="str">
        <v>Filler pleine hauteur pour armoire de cuisine</v>
      </c>
      <c r="O277" t="str">
        <f>CONCAT(N277," (",AA277,""" x ",AB277,""")")</f>
        <v>Filler pleine hauteur pour armoire de cuisine (1.5" x 96")</v>
      </c>
      <c r="P277" t="str">
        <f>CONCAT("Filler pleine hauteur"," (",AA277,""" x ",AB277,""")")</f>
        <v>Filler pleine hauteur (1.5" x 96")</v>
      </c>
      <c r="Q277" s="1">
        <v>80</v>
      </c>
      <c r="R277" s="1">
        <f>Q277/11.25</f>
        <v>7.111111111111111</v>
      </c>
      <c r="S277" s="1">
        <f>R277*1.4</f>
        <v>9.955555555555554</v>
      </c>
      <c r="T277" s="1">
        <f>S277*1.1</f>
        <v>10.95111111111111</v>
      </c>
      <c r="U277" s="1">
        <f>T277*1.2</f>
        <v>13.141333333333332</v>
      </c>
      <c r="V277" s="1">
        <f>U277*1.2</f>
        <v>15.769599999999997</v>
      </c>
      <c r="W277" s="1">
        <f>V277*1.1</f>
        <v>17.346559999999997</v>
      </c>
      <c r="X277" s="1">
        <f>W277</f>
        <v>17.346559999999997</v>
      </c>
      <c r="Y277" s="2">
        <v>0.4</v>
      </c>
      <c r="Z277" s="1">
        <f>X277*(1+Y277)</f>
        <v>24.285183999999994</v>
      </c>
      <c r="AA277">
        <v>1.5</v>
      </c>
      <c r="AB277">
        <v>96</v>
      </c>
      <c r="AC277">
        <v>0.75</v>
      </c>
      <c r="AD277" t="str">
        <v>N/A</v>
      </c>
      <c r="AE277" t="str">
        <v>N/A</v>
      </c>
      <c r="AF277" t="str">
        <v>Full-height filler for kitchen cabinet (1.5" x 96")</v>
      </c>
      <c r="AG277" t="str">
        <v>Full-height filler (1.5" x 96")</v>
      </c>
    </row>
    <row r="278" hidden="1">
      <c r="A278" t="str">
        <v>S8-WF1.596-muf</v>
      </c>
      <c r="E278" t="b">
        <f>IF(OR(B278=TRUE,C278=TRUE,D278=TRUE),FALSE,TRUE)</f>
        <v>1</v>
      </c>
      <c r="G278" t="str">
        <v>TF1.5-96</v>
      </c>
      <c r="H278" t="str">
        <f>IF(ISNUMBER(SEARCH("muf",A278)),"Chêne blanc","Blanc")</f>
        <v>Chêne blanc</v>
      </c>
      <c r="I278" t="str">
        <f>CONCAT(G278,IF(H278="","",IF(H278="Blanc","-CW","-WWO")))</f>
        <v>TF1.5-96-WWO</v>
      </c>
      <c r="J278" t="str">
        <f>IFERROR(VLOOKUP(K278,Categories!$A$2:$C$41,2,FALSE()),"⚠ slug introuvable")</f>
        <v>fillers-panels-moldings</v>
      </c>
      <c r="K278" t="str">
        <v>fillers-base-wall-tall</v>
      </c>
      <c r="L278" t="str">
        <f>IFERROR(VLOOKUP(J278,Categories!$A$2:$C$41,3,FALSE()),"⚠ slug introuvable")</f>
        <v>Fillers, panneaux &amp; moulures</v>
      </c>
      <c r="M278" t="str">
        <f>IFERROR(VLOOKUP(K278,Categories!$A$2:$C$41,3,FALSE()),"⚠ slug introuvable")</f>
        <v>Fillers bas/mural/haut</v>
      </c>
      <c r="N278" t="str">
        <v>Filler pleine hauteur pour armoire de cuisine</v>
      </c>
      <c r="O278" t="str">
        <f>CONCAT(N278," (",AA278,""" x ",AB278,""")")</f>
        <v>Filler pleine hauteur pour armoire de cuisine (1.5" x 96")</v>
      </c>
      <c r="P278" t="str">
        <f>CONCAT("Filler pleine hauteur"," (",AA278,""" x ",AB278,""")")</f>
        <v>Filler pleine hauteur (1.5" x 96")</v>
      </c>
      <c r="Q278" s="1">
        <v>122</v>
      </c>
      <c r="R278" s="1">
        <f>Q278/11.25</f>
        <v>10.844444444444445</v>
      </c>
      <c r="S278" s="1">
        <f>R278*1.4</f>
        <v>15.182222222222222</v>
      </c>
      <c r="T278" s="1">
        <f>S278*1.1</f>
        <v>16.700444444444447</v>
      </c>
      <c r="U278" s="1">
        <f>T278*1.2</f>
        <v>20.040533333333336</v>
      </c>
      <c r="V278" s="1">
        <f>U278*1.2</f>
        <v>24.048640000000002</v>
      </c>
      <c r="W278" s="1">
        <f>V278*1.1</f>
        <v>26.453504000000006</v>
      </c>
      <c r="X278" s="1">
        <f>W278</f>
        <v>26.453504000000006</v>
      </c>
      <c r="Y278" s="2">
        <v>0.4</v>
      </c>
      <c r="Z278" s="1">
        <f>X278*(1+Y278)</f>
        <v>37.03490560000001</v>
      </c>
      <c r="AA278">
        <v>1.5</v>
      </c>
      <c r="AB278">
        <v>96</v>
      </c>
      <c r="AC278">
        <v>0.75</v>
      </c>
      <c r="AD278" t="str">
        <v>N/A</v>
      </c>
      <c r="AE278" t="str">
        <v>N/A</v>
      </c>
      <c r="AF278" t="str">
        <v>Full-height filler for kitchen cabinet (1.5" x 96")</v>
      </c>
      <c r="AG278" t="str">
        <v>Full-height filler (1.5" x 96")</v>
      </c>
    </row>
    <row r="279" hidden="1">
      <c r="A279" t="str">
        <v>S8-WF330</v>
      </c>
      <c r="E279" t="b">
        <f>IF(OR(B279=TRUE,C279=TRUE,D279=TRUE),FALSE,TRUE)</f>
        <v>1</v>
      </c>
      <c r="G279" t="str">
        <v>WF330</v>
      </c>
      <c r="H279" t="str">
        <f>IF(ISNUMBER(SEARCH("muf",A279)),"Chêne blanc","Blanc")</f>
        <v>Blanc</v>
      </c>
      <c r="I279" t="str">
        <f>CONCAT(G279,IF(H279="","",IF(H279="Blanc","-CW","-WWO")))</f>
        <v>WF330-CW</v>
      </c>
      <c r="J279" t="str">
        <v>fillers-panels-moldings</v>
      </c>
      <c r="K279" t="str">
        <v>fillers-base-wall-tall</v>
      </c>
      <c r="L279" t="str">
        <f>IFERROR(VLOOKUP(J279,Categories!$A$2:$C$41,3,FALSE()),"⚠ slug introuvable")</f>
        <v>Fillers, panneaux &amp; moulures</v>
      </c>
      <c r="M279" t="str">
        <f>IFERROR(VLOOKUP(K279,Categories!$A$2:$C$41,3,FALSE()),"⚠ slug introuvable")</f>
        <v>Fillers bas/mural/haut</v>
      </c>
      <c r="N279" t="str">
        <v>Filler pleine hauteur pour armoire de cuisine</v>
      </c>
      <c r="O279" t="str">
        <f>CONCAT(N279," (",AA279,""" x ",AB279,""")")</f>
        <v>Filler pleine hauteur pour armoire de cuisine (3" x 30")</v>
      </c>
      <c r="P279" t="str">
        <f>CONCAT("Filler pleine hauteur"," (",AA279,""" x ",AB279,""")")</f>
        <v>Filler pleine hauteur (3" x 30")</v>
      </c>
      <c r="Q279" s="1">
        <v>42</v>
      </c>
      <c r="R279" s="1">
        <f>Q279/11.25</f>
        <v>3.7333333333333334</v>
      </c>
      <c r="S279" s="1">
        <f>R279*1.4</f>
        <v>5.226666666666667</v>
      </c>
      <c r="T279" s="1">
        <f>S279*1.1</f>
        <v>5.749333333333333</v>
      </c>
      <c r="U279" s="1">
        <f>T279*1.2</f>
        <v>6.8991999999999996</v>
      </c>
      <c r="V279" s="1">
        <f>U279*1.2</f>
        <v>8.279039999999998</v>
      </c>
      <c r="W279" s="1">
        <f>V279*1.1</f>
        <v>9.106943999999999</v>
      </c>
      <c r="X279" s="1">
        <f>W279</f>
        <v>9.106943999999999</v>
      </c>
      <c r="Y279" s="2">
        <v>0.4</v>
      </c>
      <c r="Z279" s="1">
        <f>X279*(1+Y279)</f>
        <v>12.749721599999997</v>
      </c>
      <c r="AA279">
        <v>3</v>
      </c>
      <c r="AB279">
        <v>30</v>
      </c>
      <c r="AC279">
        <v>0.75</v>
      </c>
      <c r="AD279" t="str">
        <v>N/A</v>
      </c>
      <c r="AE279" t="str">
        <v>N/A</v>
      </c>
      <c r="AF279" t="str">
        <v>Full-height filler for kitchen cabinet (3" x 30")</v>
      </c>
      <c r="AG279" t="str">
        <v>Full-height filler (3" x 30")</v>
      </c>
    </row>
    <row r="280" hidden="1">
      <c r="A280" t="str">
        <v>S8-WF330-muf</v>
      </c>
      <c r="E280" t="b">
        <f>IF(OR(B280=TRUE,C280=TRUE,D280=TRUE),FALSE,TRUE)</f>
        <v>1</v>
      </c>
      <c r="G280" t="str">
        <v>WF330</v>
      </c>
      <c r="H280" t="str">
        <f>IF(ISNUMBER(SEARCH("muf",A280)),"Chêne blanc","Blanc")</f>
        <v>Chêne blanc</v>
      </c>
      <c r="I280" t="str">
        <f>CONCAT(G280,IF(H280="","",IF(H280="Blanc","-CW","-WWO")))</f>
        <v>WF330-WWO</v>
      </c>
      <c r="J280" t="str">
        <f>IFERROR(VLOOKUP(K280,Categories!$A$2:$C$41,2,FALSE()),"⚠ slug introuvable")</f>
        <v>fillers-panels-moldings</v>
      </c>
      <c r="K280" t="str">
        <v>fillers-base-wall-tall</v>
      </c>
      <c r="L280" t="str">
        <f>IFERROR(VLOOKUP(J280,Categories!$A$2:$C$41,3,FALSE()),"⚠ slug introuvable")</f>
        <v>Fillers, panneaux &amp; moulures</v>
      </c>
      <c r="M280" t="str">
        <f>IFERROR(VLOOKUP(K280,Categories!$A$2:$C$41,3,FALSE()),"⚠ slug introuvable")</f>
        <v>Fillers bas/mural/haut</v>
      </c>
      <c r="N280" t="str">
        <v>Filler pleine hauteur pour armoire de cuisine</v>
      </c>
      <c r="O280" t="str">
        <f>CONCAT(N280," (",AA280,""" x ",AB280,""")")</f>
        <v>Filler pleine hauteur pour armoire de cuisine (3" x 30")</v>
      </c>
      <c r="P280" t="str">
        <f>CONCAT("Filler pleine hauteur"," (",AA280,""" x ",AB280,""")")</f>
        <v>Filler pleine hauteur (3" x 30")</v>
      </c>
      <c r="Q280" s="1">
        <v>115.2</v>
      </c>
      <c r="R280" s="1">
        <f>Q280/11.25</f>
        <v>10.24</v>
      </c>
      <c r="S280" s="1">
        <f>R280*1.4</f>
        <v>14.335999999999999</v>
      </c>
      <c r="T280" s="1">
        <f>S280*1.1</f>
        <v>15.7696</v>
      </c>
      <c r="U280" s="1">
        <f>T280*1.2</f>
        <v>18.92352</v>
      </c>
      <c r="V280" s="1">
        <f>U280*1.2</f>
        <v>22.708223999999998</v>
      </c>
      <c r="W280" s="1">
        <f>V280*1.1</f>
        <v>24.979046399999998</v>
      </c>
      <c r="X280" s="1">
        <f>W280</f>
        <v>24.979046399999998</v>
      </c>
      <c r="Y280" s="2">
        <v>0.4</v>
      </c>
      <c r="Z280" s="1">
        <f>X280*(1+Y280)</f>
        <v>34.97066495999999</v>
      </c>
      <c r="AA280">
        <v>3</v>
      </c>
      <c r="AB280">
        <v>30</v>
      </c>
      <c r="AC280">
        <v>0.75</v>
      </c>
      <c r="AD280" t="str">
        <v>N/A</v>
      </c>
      <c r="AE280" t="str">
        <v>N/A</v>
      </c>
      <c r="AF280" t="str">
        <v>Full-height filler for kitchen cabinet (3" x 30")</v>
      </c>
      <c r="AG280" t="str">
        <v>Full-height filler (3" x 30")</v>
      </c>
    </row>
    <row r="281" hidden="1">
      <c r="A281" t="str">
        <v>S8-WF336</v>
      </c>
      <c r="E281" t="b">
        <f>IF(OR(B281=TRUE,C281=TRUE,D281=TRUE),FALSE,TRUE)</f>
        <v>1</v>
      </c>
      <c r="G281" t="str">
        <v>WF336</v>
      </c>
      <c r="H281" t="str">
        <f>IF(ISNUMBER(SEARCH("muf",A281)),"Chêne blanc","Blanc")</f>
        <v>Blanc</v>
      </c>
      <c r="I281" t="str">
        <f>CONCAT(G281,IF(H281="","",IF(H281="Blanc","-CW","-WWO")))</f>
        <v>WF336-CW</v>
      </c>
      <c r="J281" t="str">
        <v>fillers-panels-moldings</v>
      </c>
      <c r="K281" t="str">
        <v>fillers-base-wall-tall</v>
      </c>
      <c r="L281" t="str">
        <f>IFERROR(VLOOKUP(J281,Categories!$A$2:$C$41,3,FALSE()),"⚠ slug introuvable")</f>
        <v>Fillers, panneaux &amp; moulures</v>
      </c>
      <c r="M281" t="str">
        <f>IFERROR(VLOOKUP(K281,Categories!$A$2:$C$41,3,FALSE()),"⚠ slug introuvable")</f>
        <v>Fillers bas/mural/haut</v>
      </c>
      <c r="N281" t="str">
        <v>Filler pleine hauteur pour armoire de cuisine</v>
      </c>
      <c r="O281" t="str">
        <f>CONCAT(N281," (",AA281,""" x ",AB281,""")")</f>
        <v>Filler pleine hauteur pour armoire de cuisine (3" x 36")</v>
      </c>
      <c r="P281" t="str">
        <f>CONCAT("Filler pleine hauteur"," (",AA281,""" x ",AB281,""")")</f>
        <v>Filler pleine hauteur (3" x 36")</v>
      </c>
      <c r="Q281" s="1">
        <v>46</v>
      </c>
      <c r="R281" s="1">
        <f>Q281/11.25</f>
        <v>4.088888888888889</v>
      </c>
      <c r="S281" s="1">
        <f>R281*1.4</f>
        <v>5.724444444444444</v>
      </c>
      <c r="T281" s="1">
        <f>S281*1.1</f>
        <v>6.296888888888889</v>
      </c>
      <c r="U281" s="1">
        <f>T281*1.2</f>
        <v>7.556266666666666</v>
      </c>
      <c r="V281" s="1">
        <f>U281*1.2</f>
        <v>9.067519999999998</v>
      </c>
      <c r="W281" s="1">
        <f>V281*1.1</f>
        <v>9.974272</v>
      </c>
      <c r="X281" s="1">
        <f>W281</f>
        <v>9.974272</v>
      </c>
      <c r="Y281" s="2">
        <v>0.4</v>
      </c>
      <c r="Z281" s="1">
        <f>X281*(1+Y281)</f>
        <v>13.963980799999998</v>
      </c>
      <c r="AA281">
        <v>3</v>
      </c>
      <c r="AB281">
        <v>36</v>
      </c>
      <c r="AC281">
        <v>0.75</v>
      </c>
      <c r="AD281" t="str">
        <v>N/A</v>
      </c>
      <c r="AE281" t="str">
        <v>N/A</v>
      </c>
      <c r="AF281" t="str">
        <v>Full-height filler for kitchen cabinet (3" x 36")</v>
      </c>
      <c r="AG281" t="str">
        <v>Full-height filler (3" x 36")</v>
      </c>
    </row>
    <row r="282" hidden="1">
      <c r="A282" t="str">
        <v>S8-WF336-muf</v>
      </c>
      <c r="E282" t="b">
        <f>IF(OR(B282=TRUE,C282=TRUE,D282=TRUE),FALSE,TRUE)</f>
        <v>1</v>
      </c>
      <c r="G282" t="str">
        <v>WF336</v>
      </c>
      <c r="H282" t="str">
        <f>IF(ISNUMBER(SEARCH("muf",A282)),"Chêne blanc","Blanc")</f>
        <v>Chêne blanc</v>
      </c>
      <c r="I282" t="str">
        <f>CONCAT(G282,IF(H282="","",IF(H282="Blanc","-CW","-WWO")))</f>
        <v>WF336-WWO</v>
      </c>
      <c r="J282" t="str">
        <f>IFERROR(VLOOKUP(K282,Categories!$A$2:$C$41,2,FALSE()),"⚠ slug introuvable")</f>
        <v>fillers-panels-moldings</v>
      </c>
      <c r="K282" t="str">
        <v>fillers-base-wall-tall</v>
      </c>
      <c r="L282" t="str">
        <f>IFERROR(VLOOKUP(J282,Categories!$A$2:$C$41,3,FALSE()),"⚠ slug introuvable")</f>
        <v>Fillers, panneaux &amp; moulures</v>
      </c>
      <c r="M282" t="str">
        <f>IFERROR(VLOOKUP(K282,Categories!$A$2:$C$41,3,FALSE()),"⚠ slug introuvable")</f>
        <v>Fillers bas/mural/haut</v>
      </c>
      <c r="N282" t="str">
        <v>Filler pleine hauteur pour armoire de cuisine</v>
      </c>
      <c r="O282" t="str">
        <f>CONCAT(N282," (",AA282,""" x ",AB282,""")")</f>
        <v>Filler pleine hauteur pour armoire de cuisine (3" x 36")</v>
      </c>
      <c r="P282" t="str">
        <f>CONCAT("Filler pleine hauteur"," (",AA282,""" x ",AB282,""")")</f>
        <v>Filler pleine hauteur (3" x 36")</v>
      </c>
      <c r="Q282" s="1">
        <v>75</v>
      </c>
      <c r="R282" s="1">
        <f>Q282/11.25</f>
        <v>6.666666666666667</v>
      </c>
      <c r="S282" s="1">
        <f>R282*1.4</f>
        <v>9.333333333333334</v>
      </c>
      <c r="T282" s="1">
        <f>S282*1.1</f>
        <v>10.266666666666667</v>
      </c>
      <c r="U282" s="1">
        <f>T282*1.2</f>
        <v>12.32</v>
      </c>
      <c r="V282" s="1">
        <f>U282*1.2</f>
        <v>14.783999999999999</v>
      </c>
      <c r="W282" s="1">
        <f>V282*1.1</f>
        <v>16.2624</v>
      </c>
      <c r="X282" s="1">
        <f>W282</f>
        <v>16.2624</v>
      </c>
      <c r="Y282" s="2">
        <v>0.4</v>
      </c>
      <c r="Z282" s="1">
        <f>X282*(1+Y282)</f>
        <v>22.767359999999996</v>
      </c>
      <c r="AA282">
        <v>3</v>
      </c>
      <c r="AB282">
        <v>36</v>
      </c>
      <c r="AC282">
        <v>0.75</v>
      </c>
      <c r="AD282" t="str">
        <v>N/A</v>
      </c>
      <c r="AE282" t="str">
        <v>N/A</v>
      </c>
      <c r="AF282" t="str">
        <v>Full-height filler for kitchen cabinet (3" x 36")</v>
      </c>
      <c r="AG282" t="str">
        <v>Full-height filler (3" x 36")</v>
      </c>
    </row>
    <row r="283" hidden="1">
      <c r="A283" t="str">
        <v>S8-WF342</v>
      </c>
      <c r="E283" t="b">
        <f>IF(OR(B283=TRUE,C283=TRUE,D283=TRUE),FALSE,TRUE)</f>
        <v>1</v>
      </c>
      <c r="G283" t="str">
        <v>WF342</v>
      </c>
      <c r="H283" t="str">
        <f>IF(ISNUMBER(SEARCH("muf",A283)),"Chêne blanc","Blanc")</f>
        <v>Blanc</v>
      </c>
      <c r="I283" t="str">
        <f>CONCAT(G283,IF(H283="","",IF(H283="Blanc","-CW","-WWO")))</f>
        <v>WF342-CW</v>
      </c>
      <c r="J283" t="str">
        <v>fillers-panels-moldings</v>
      </c>
      <c r="K283" t="str">
        <v>fillers-base-wall-tall</v>
      </c>
      <c r="L283" t="str">
        <f>IFERROR(VLOOKUP(J283,Categories!$A$2:$C$41,3,FALSE()),"⚠ slug introuvable")</f>
        <v>Fillers, panneaux &amp; moulures</v>
      </c>
      <c r="M283" t="str">
        <f>IFERROR(VLOOKUP(K283,Categories!$A$2:$C$41,3,FALSE()),"⚠ slug introuvable")</f>
        <v>Fillers bas/mural/haut</v>
      </c>
      <c r="N283" t="str">
        <v>Filler pleine hauteur pour armoire de cuisine</v>
      </c>
      <c r="O283" t="str">
        <f>CONCAT(N283," (",AA283,""" x ",AB283,""")")</f>
        <v>Filler pleine hauteur pour armoire de cuisine (3" x 42")</v>
      </c>
      <c r="P283" t="str">
        <f>CONCAT("Filler pleine hauteur"," (",AA283,""" x ",AB283,""")")</f>
        <v>Filler pleine hauteur (3" x 42")</v>
      </c>
      <c r="Q283" s="1">
        <v>87</v>
      </c>
      <c r="R283" s="1">
        <f>Q283/11.25</f>
        <v>7.733333333333333</v>
      </c>
      <c r="S283" s="1">
        <f>R283*1.4</f>
        <v>10.826666666666666</v>
      </c>
      <c r="T283" s="1">
        <f>S283*1.1</f>
        <v>11.909333333333334</v>
      </c>
      <c r="U283" s="1">
        <f>T283*1.2</f>
        <v>14.291200000000002</v>
      </c>
      <c r="V283" s="1">
        <f>U283*1.2</f>
        <v>17.149440000000002</v>
      </c>
      <c r="W283" s="1">
        <f>V283*1.1</f>
        <v>18.864384000000005</v>
      </c>
      <c r="X283" s="1">
        <f>W283</f>
        <v>18.864384000000005</v>
      </c>
      <c r="Y283" s="2">
        <v>0.4</v>
      </c>
      <c r="Z283" s="1">
        <f>X283*(1+Y283)</f>
        <v>26.410137600000006</v>
      </c>
      <c r="AA283">
        <v>3</v>
      </c>
      <c r="AB283">
        <v>42</v>
      </c>
      <c r="AC283">
        <v>0.75</v>
      </c>
      <c r="AD283" t="str">
        <v>N/A</v>
      </c>
      <c r="AE283" t="str">
        <v>N/A</v>
      </c>
      <c r="AF283" t="str">
        <v>Full-height filler for kitchen cabinet (3" x 42")</v>
      </c>
      <c r="AG283" t="str">
        <v>Full-height filler (3" x 42")</v>
      </c>
    </row>
    <row r="284" hidden="1">
      <c r="A284" t="str">
        <v>S8-WF342-muf</v>
      </c>
      <c r="E284" t="b">
        <f>IF(OR(B284=TRUE,C284=TRUE,D284=TRUE),FALSE,TRUE)</f>
        <v>1</v>
      </c>
      <c r="G284" t="str">
        <v>WF342</v>
      </c>
      <c r="H284" t="str">
        <f>IF(ISNUMBER(SEARCH("muf",A284)),"Chêne blanc","Blanc")</f>
        <v>Chêne blanc</v>
      </c>
      <c r="I284" t="str">
        <f>CONCAT(G284,IF(H284="","",IF(H284="Blanc","-CW","-WWO")))</f>
        <v>WF342-WWO</v>
      </c>
      <c r="J284" t="str">
        <f>IFERROR(VLOOKUP(K284,Categories!$A$2:$C$41,2,FALSE()),"⚠ slug introuvable")</f>
        <v>fillers-panels-moldings</v>
      </c>
      <c r="K284" t="str">
        <v>fillers-base-wall-tall</v>
      </c>
      <c r="L284" t="str">
        <f>IFERROR(VLOOKUP(J284,Categories!$A$2:$C$41,3,FALSE()),"⚠ slug introuvable")</f>
        <v>Fillers, panneaux &amp; moulures</v>
      </c>
      <c r="M284" t="str">
        <f>IFERROR(VLOOKUP(K284,Categories!$A$2:$C$41,3,FALSE()),"⚠ slug introuvable")</f>
        <v>Fillers bas/mural/haut</v>
      </c>
      <c r="N284" t="str">
        <v>Filler pleine hauteur pour armoire de cuisine</v>
      </c>
      <c r="O284" t="str">
        <f>CONCAT(N284," (",AA284,""" x ",AB284,""")")</f>
        <v>Filler pleine hauteur pour armoire de cuisine (3" x 42")</v>
      </c>
      <c r="P284" t="str">
        <f>CONCAT("Filler pleine hauteur"," (",AA284,""" x ",AB284,""")")</f>
        <v>Filler pleine hauteur (3" x 42")</v>
      </c>
      <c r="Q284" s="1">
        <v>140</v>
      </c>
      <c r="R284" s="1">
        <f>Q284/11.25</f>
        <v>12.444444444444445</v>
      </c>
      <c r="S284" s="1">
        <f>R284*1.4</f>
        <v>17.42222222222222</v>
      </c>
      <c r="T284" s="1">
        <f>S284*1.1</f>
        <v>19.164444444444445</v>
      </c>
      <c r="U284" s="1">
        <f>T284*1.2</f>
        <v>22.997333333333334</v>
      </c>
      <c r="V284" s="1">
        <f>U284*1.2</f>
        <v>27.596799999999998</v>
      </c>
      <c r="W284" s="1">
        <f>V284*1.1</f>
        <v>30.35648</v>
      </c>
      <c r="X284" s="1">
        <f>W284</f>
        <v>30.35648</v>
      </c>
      <c r="Y284" s="2">
        <v>0.4</v>
      </c>
      <c r="Z284" s="1">
        <f>X284*(1+Y284)</f>
        <v>42.499072</v>
      </c>
      <c r="AA284">
        <v>3</v>
      </c>
      <c r="AB284">
        <v>42</v>
      </c>
      <c r="AC284">
        <v>0.75</v>
      </c>
      <c r="AD284" t="str">
        <v>N/A</v>
      </c>
      <c r="AE284" t="str">
        <v>N/A</v>
      </c>
      <c r="AF284" t="str">
        <v>Full-height filler for kitchen cabinet (3" x 42")</v>
      </c>
      <c r="AG284" t="str">
        <v>Full-height filler (3" x 42")</v>
      </c>
    </row>
    <row r="285" hidden="1">
      <c r="A285" t="str">
        <v>S8-WF348</v>
      </c>
      <c r="E285" t="b">
        <f>IF(OR(B285=TRUE,C285=TRUE,D285=TRUE),FALSE,TRUE)</f>
        <v>1</v>
      </c>
      <c r="G285" t="str">
        <v>WF348</v>
      </c>
      <c r="H285" t="str">
        <f>IF(ISNUMBER(SEARCH("muf",A285)),"Chêne blanc","Blanc")</f>
        <v>Blanc</v>
      </c>
      <c r="I285" t="str">
        <f>CONCAT(G285,IF(H285="","",IF(H285="Blanc","-CW","-WWO")))</f>
        <v>WF348-CW</v>
      </c>
      <c r="J285" t="str">
        <v>fillers-panels-moldings</v>
      </c>
      <c r="K285" t="str">
        <v>fillers-base-wall-tall</v>
      </c>
      <c r="L285" t="str">
        <f>IFERROR(VLOOKUP(J285,Categories!$A$2:$C$41,3,FALSE()),"⚠ slug introuvable")</f>
        <v>Fillers, panneaux &amp; moulures</v>
      </c>
      <c r="M285" t="str">
        <f>IFERROR(VLOOKUP(K285,Categories!$A$2:$C$41,3,FALSE()),"⚠ slug introuvable")</f>
        <v>Fillers bas/mural/haut</v>
      </c>
      <c r="N285" t="str">
        <v>Filler pleine hauteur pour armoire de cuisine</v>
      </c>
      <c r="O285" t="str">
        <f>CONCAT(N285," (",AA285,""" x ",AB285,""")")</f>
        <v>Filler pleine hauteur pour armoire de cuisine (3" x 48")</v>
      </c>
      <c r="P285" t="str">
        <f>CONCAT("Filler pleine hauteur"," (",AA285,""" x ",AB285,""")")</f>
        <v>Filler pleine hauteur (3" x 48")</v>
      </c>
      <c r="Q285" s="1">
        <v>104</v>
      </c>
      <c r="R285" s="1">
        <f>Q285/11.25</f>
        <v>9.244444444444444</v>
      </c>
      <c r="S285" s="1">
        <f>R285*1.4</f>
        <v>12.94222222222222</v>
      </c>
      <c r="T285" s="1">
        <f>S285*1.1</f>
        <v>14.236444444444443</v>
      </c>
      <c r="U285" s="1">
        <f>T285*1.2</f>
        <v>17.08373333333333</v>
      </c>
      <c r="V285" s="1">
        <f>U285*1.2</f>
        <v>20.500479999999996</v>
      </c>
      <c r="W285" s="1">
        <f>V285*1.1</f>
        <v>22.550527999999996</v>
      </c>
      <c r="X285" s="1">
        <f>W285</f>
        <v>22.550527999999996</v>
      </c>
      <c r="Y285" s="2">
        <v>0.4</v>
      </c>
      <c r="Z285" s="1">
        <f>X285*(1+Y285)</f>
        <v>31.57073919999999</v>
      </c>
      <c r="AA285">
        <v>3</v>
      </c>
      <c r="AB285">
        <v>48</v>
      </c>
      <c r="AC285">
        <v>0.75</v>
      </c>
      <c r="AD285" t="str">
        <v>N/A</v>
      </c>
      <c r="AE285" t="str">
        <v>N/A</v>
      </c>
      <c r="AF285" t="str">
        <v>Full-height filler for kitchen cabinet (3" x 48")</v>
      </c>
      <c r="AG285" t="str">
        <v>Full-height filler (3" x 48")</v>
      </c>
    </row>
    <row r="286" hidden="1">
      <c r="A286" t="str">
        <v>S8-WF348-muf</v>
      </c>
      <c r="E286" t="b">
        <f>IF(OR(B286=TRUE,C286=TRUE,D286=TRUE),FALSE,TRUE)</f>
        <v>1</v>
      </c>
      <c r="G286" t="str">
        <v>WF348</v>
      </c>
      <c r="H286" t="str">
        <f>IF(ISNUMBER(SEARCH("muf",A286)),"Chêne blanc","Blanc")</f>
        <v>Chêne blanc</v>
      </c>
      <c r="I286" t="str">
        <f>CONCAT(G286,IF(H286="","",IF(H286="Blanc","-CW","-WWO")))</f>
        <v>WF348-WWO</v>
      </c>
      <c r="J286" t="str">
        <f>IFERROR(VLOOKUP(K286,Categories!$A$2:$C$41,2,FALSE()),"⚠ slug introuvable")</f>
        <v>fillers-panels-moldings</v>
      </c>
      <c r="K286" t="str">
        <v>fillers-base-wall-tall</v>
      </c>
      <c r="L286" t="str">
        <f>IFERROR(VLOOKUP(J286,Categories!$A$2:$C$41,3,FALSE()),"⚠ slug introuvable")</f>
        <v>Fillers, panneaux &amp; moulures</v>
      </c>
      <c r="M286" t="str">
        <f>IFERROR(VLOOKUP(K286,Categories!$A$2:$C$41,3,FALSE()),"⚠ slug introuvable")</f>
        <v>Fillers bas/mural/haut</v>
      </c>
      <c r="N286" t="str">
        <v>Filler pleine hauteur pour armoire de cuisine</v>
      </c>
      <c r="O286" t="str">
        <f>CONCAT(N286," (",AA286,""" x ",AB286,""")")</f>
        <v>Filler pleine hauteur pour armoire de cuisine (3" x 48")</v>
      </c>
      <c r="P286" t="str">
        <f>CONCAT("Filler pleine hauteur"," (",AA286,""" x ",AB286,""")")</f>
        <v>Filler pleine hauteur (3" x 48")</v>
      </c>
      <c r="Q286" s="1">
        <v>170</v>
      </c>
      <c r="R286" s="1">
        <f>Q286/11.25</f>
        <v>15.11111111111111</v>
      </c>
      <c r="S286" s="1">
        <f>R286*1.4</f>
        <v>21.155555555555555</v>
      </c>
      <c r="T286" s="1">
        <f>S286*1.1</f>
        <v>23.27111111111111</v>
      </c>
      <c r="U286" s="1">
        <f>T286*1.2</f>
        <v>27.92533333333333</v>
      </c>
      <c r="V286" s="1">
        <f>U286*1.2</f>
        <v>33.5104</v>
      </c>
      <c r="W286" s="1">
        <f>V286*1.1</f>
        <v>36.86144</v>
      </c>
      <c r="X286" s="1">
        <f>W286</f>
        <v>36.86144</v>
      </c>
      <c r="Y286" s="2">
        <v>0.4</v>
      </c>
      <c r="Z286" s="1">
        <f>X286*(1+Y286)</f>
        <v>51.606016</v>
      </c>
      <c r="AA286">
        <v>3</v>
      </c>
      <c r="AB286">
        <v>48</v>
      </c>
      <c r="AC286">
        <v>0.75</v>
      </c>
      <c r="AD286" t="str">
        <v>N/A</v>
      </c>
      <c r="AE286" t="str">
        <v>N/A</v>
      </c>
      <c r="AF286" t="str">
        <v>Full-height filler for kitchen cabinet (3" x 48")</v>
      </c>
      <c r="AG286" t="str">
        <v>Full-height filler (3" x 48")</v>
      </c>
    </row>
    <row r="287" hidden="1">
      <c r="A287" t="str">
        <v>S8-WF396</v>
      </c>
      <c r="E287" t="b">
        <f>IF(OR(B287=TRUE,C287=TRUE,D287=TRUE),FALSE,TRUE)</f>
        <v>1</v>
      </c>
      <c r="G287" t="str">
        <v>TF396</v>
      </c>
      <c r="H287" t="str">
        <f>IF(ISNUMBER(SEARCH("muf",A287)),"Chêne blanc","Blanc")</f>
        <v>Blanc</v>
      </c>
      <c r="I287" t="str">
        <f>CONCAT(G287,IF(H287="","",IF(H287="Blanc","-CW","-WWO")))</f>
        <v>TF396-CW</v>
      </c>
      <c r="J287" t="str">
        <v>fillers-panels-moldings</v>
      </c>
      <c r="K287" t="str">
        <v>fillers-base-wall-tall</v>
      </c>
      <c r="L287" t="str">
        <f>IFERROR(VLOOKUP(J287,Categories!$A$2:$C$41,3,FALSE()),"⚠ slug introuvable")</f>
        <v>Fillers, panneaux &amp; moulures</v>
      </c>
      <c r="M287" t="str">
        <f>IFERROR(VLOOKUP(K287,Categories!$A$2:$C$41,3,FALSE()),"⚠ slug introuvable")</f>
        <v>Fillers bas/mural/haut</v>
      </c>
      <c r="N287" t="str">
        <v>Filler pleine hauteur pour armoire de cuisine</v>
      </c>
      <c r="O287" t="str">
        <f>CONCAT(N287," (",AA287,""" x ",AB287,""")")</f>
        <v>Filler pleine hauteur pour armoire de cuisine (3" x 96")</v>
      </c>
      <c r="P287" t="str">
        <f>CONCAT("Filler pleine hauteur"," (",AA287,""" x ",AB287,""")")</f>
        <v>Filler pleine hauteur (3" x 96")</v>
      </c>
      <c r="Q287" s="1">
        <v>120</v>
      </c>
      <c r="R287" s="1">
        <f>Q287/11.25</f>
        <v>10.666666666666666</v>
      </c>
      <c r="S287" s="1">
        <f>R287*1.4</f>
        <v>14.933333333333332</v>
      </c>
      <c r="T287" s="1">
        <f>S287*1.1</f>
        <v>16.426666666666666</v>
      </c>
      <c r="U287" s="1">
        <f>T287*1.2</f>
        <v>19.712</v>
      </c>
      <c r="V287" s="1">
        <f>U287*1.2</f>
        <v>23.6544</v>
      </c>
      <c r="W287" s="1">
        <f>V287*1.1</f>
        <v>26.019840000000002</v>
      </c>
      <c r="X287" s="1">
        <f>W287</f>
        <v>26.019840000000002</v>
      </c>
      <c r="Y287" s="2">
        <v>0.4</v>
      </c>
      <c r="Z287" s="1">
        <f>X287*(1+Y287)</f>
        <v>36.427776</v>
      </c>
      <c r="AA287">
        <v>3</v>
      </c>
      <c r="AB287">
        <v>96</v>
      </c>
      <c r="AC287">
        <v>0.75</v>
      </c>
      <c r="AD287" t="str">
        <v>N/A</v>
      </c>
      <c r="AE287" t="str">
        <v>N/A</v>
      </c>
      <c r="AF287" t="str">
        <v>Full-height filler for kitchen cabinet (3" x 96")</v>
      </c>
      <c r="AG287" t="str">
        <v>Full-height filler (3" x 96")</v>
      </c>
    </row>
    <row r="288" hidden="1">
      <c r="A288" t="str">
        <v>S8-WF396-muf</v>
      </c>
      <c r="E288" t="b">
        <f>IF(OR(B288=TRUE,C288=TRUE,D288=TRUE),FALSE,TRUE)</f>
        <v>1</v>
      </c>
      <c r="G288" t="str">
        <v>TF396</v>
      </c>
      <c r="H288" t="str">
        <f>IF(ISNUMBER(SEARCH("muf",A288)),"Chêne blanc","Blanc")</f>
        <v>Chêne blanc</v>
      </c>
      <c r="I288" t="str">
        <f>CONCAT(G288,IF(H288="","",IF(H288="Blanc","-CW","-WWO")))</f>
        <v>TF396-WWO</v>
      </c>
      <c r="J288" t="str">
        <f>IFERROR(VLOOKUP(K288,Categories!$A$2:$C$41,2,FALSE()),"⚠ slug introuvable")</f>
        <v>fillers-panels-moldings</v>
      </c>
      <c r="K288" t="str">
        <v>fillers-base-wall-tall</v>
      </c>
      <c r="L288" t="str">
        <f>IFERROR(VLOOKUP(J288,Categories!$A$2:$C$41,3,FALSE()),"⚠ slug introuvable")</f>
        <v>Fillers, panneaux &amp; moulures</v>
      </c>
      <c r="M288" t="str">
        <f>IFERROR(VLOOKUP(K288,Categories!$A$2:$C$41,3,FALSE()),"⚠ slug introuvable")</f>
        <v>Fillers bas/mural/haut</v>
      </c>
      <c r="N288" t="str">
        <v>Filler pleine hauteur pour armoire de cuisine</v>
      </c>
      <c r="O288" t="str">
        <f>CONCAT(N288," (",AA288,""" x ",AB288,""")")</f>
        <v>Filler pleine hauteur pour armoire de cuisine (3" x 96")</v>
      </c>
      <c r="P288" t="str">
        <f>CONCAT("Filler pleine hauteur"," (",AA288,""" x ",AB288,""")")</f>
        <v>Filler pleine hauteur (3" x 96")</v>
      </c>
      <c r="Q288" s="1">
        <v>197</v>
      </c>
      <c r="R288" s="1">
        <f>Q288/11.25</f>
        <v>17.511111111111113</v>
      </c>
      <c r="S288" s="1">
        <f>R288*1.4</f>
        <v>24.515555555555558</v>
      </c>
      <c r="T288" s="1">
        <f>S288*1.1</f>
        <v>26.967111111111116</v>
      </c>
      <c r="U288" s="1">
        <f>T288*1.2</f>
        <v>32.360533333333336</v>
      </c>
      <c r="V288" s="1">
        <f>U288*1.2</f>
        <v>38.832640000000005</v>
      </c>
      <c r="W288" s="1">
        <f>V288*1.1</f>
        <v>42.71590400000001</v>
      </c>
      <c r="X288" s="1">
        <f>W288</f>
        <v>42.71590400000001</v>
      </c>
      <c r="Y288" s="2">
        <v>0.4</v>
      </c>
      <c r="Z288" s="1">
        <f>X288*(1+Y288)</f>
        <v>59.802265600000005</v>
      </c>
      <c r="AA288">
        <v>3</v>
      </c>
      <c r="AB288">
        <v>96</v>
      </c>
      <c r="AC288">
        <v>0.75</v>
      </c>
      <c r="AD288" t="str">
        <v>N/A</v>
      </c>
      <c r="AE288" t="str">
        <v>N/A</v>
      </c>
      <c r="AF288" t="str">
        <v>Full-height filler for kitchen cabinet (3" x 96")</v>
      </c>
      <c r="AG288" t="str">
        <v>Full-height filler (3" x 96")</v>
      </c>
    </row>
    <row r="289" hidden="1">
      <c r="A289" t="str">
        <v>S8-WF3X120</v>
      </c>
      <c r="E289" t="b">
        <f>IF(OR(B289=TRUE,C289=TRUE,D289=TRUE),FALSE,TRUE)</f>
        <v>1</v>
      </c>
      <c r="G289" t="str">
        <v>TF3-120</v>
      </c>
      <c r="H289" t="str">
        <f>IF(ISNUMBER(SEARCH("muf",A289)),"Chêne blanc","Blanc")</f>
        <v>Blanc</v>
      </c>
      <c r="I289" t="str">
        <f>CONCAT(G289,IF(H289="","",IF(H289="Blanc","-CW","-WWO")))</f>
        <v>TF3-120-CW</v>
      </c>
      <c r="J289" t="str">
        <v>fillers-panels-moldings</v>
      </c>
      <c r="K289" t="str">
        <v>fillers-base-wall-tall</v>
      </c>
      <c r="L289" t="str">
        <f>IFERROR(VLOOKUP(J289,Categories!$A$2:$C$41,3,FALSE()),"⚠ slug introuvable")</f>
        <v>Fillers, panneaux &amp; moulures</v>
      </c>
      <c r="M289" t="str">
        <f>IFERROR(VLOOKUP(K289,Categories!$A$2:$C$41,3,FALSE()),"⚠ slug introuvable")</f>
        <v>Fillers bas/mural/haut</v>
      </c>
      <c r="N289" t="str">
        <v>Filler pleine hauteur pour armoire de cuisine</v>
      </c>
      <c r="O289" t="str">
        <f>CONCAT(N289," (",AA289,""" x ",AB289,""")")</f>
        <v>Filler pleine hauteur pour armoire de cuisine (3" x 120")</v>
      </c>
      <c r="P289" t="str">
        <f>CONCAT("Filler pleine hauteur"," (",AA289,""" x ",AB289,""")")</f>
        <v>Filler pleine hauteur (3" x 120")</v>
      </c>
      <c r="Q289" s="1">
        <v>164</v>
      </c>
      <c r="R289" s="1">
        <f>Q289/11.25</f>
        <v>14.577777777777778</v>
      </c>
      <c r="S289" s="1">
        <f>R289*1.4</f>
        <v>20.40888888888889</v>
      </c>
      <c r="T289" s="1">
        <f>S289*1.1</f>
        <v>22.44977777777778</v>
      </c>
      <c r="U289" s="1">
        <f>T289*1.2</f>
        <v>26.939733333333333</v>
      </c>
      <c r="V289" s="1">
        <f>U289*1.2</f>
        <v>32.32768</v>
      </c>
      <c r="W289" s="1">
        <f>V289*1.1</f>
        <v>35.560448</v>
      </c>
      <c r="X289" s="1">
        <f>W289</f>
        <v>35.560448</v>
      </c>
      <c r="Y289" s="2">
        <v>0.4</v>
      </c>
      <c r="Z289" s="1">
        <f>X289*(1+Y289)</f>
        <v>49.784627199999996</v>
      </c>
      <c r="AA289">
        <v>3</v>
      </c>
      <c r="AB289">
        <v>120</v>
      </c>
      <c r="AC289">
        <v>0.75</v>
      </c>
      <c r="AD289" t="str">
        <v>N/A</v>
      </c>
      <c r="AE289" t="str">
        <v>N/A</v>
      </c>
      <c r="AF289" t="str">
        <v>Full-height filler for kitchen cabinet (3" x 120")</v>
      </c>
      <c r="AG289" t="str">
        <v>Full-height filler (3" x 120")</v>
      </c>
    </row>
    <row r="290" hidden="1">
      <c r="A290" t="str">
        <v>S8-WF3X120-muf</v>
      </c>
      <c r="E290" t="b">
        <f>IF(OR(B290=TRUE,C290=TRUE,D290=TRUE),FALSE,TRUE)</f>
        <v>1</v>
      </c>
      <c r="G290" t="str">
        <v>TF3-120</v>
      </c>
      <c r="H290" t="str">
        <f>IF(ISNUMBER(SEARCH("muf",A290)),"Chêne blanc","Blanc")</f>
        <v>Chêne blanc</v>
      </c>
      <c r="I290" t="str">
        <f>CONCAT(G290,IF(H290="","",IF(H290="Blanc","-CW","-WWO")))</f>
        <v>TF3-120-WWO</v>
      </c>
      <c r="J290" t="str">
        <f>IFERROR(VLOOKUP(K290,Categories!$A$2:$C$41,2,FALSE()),"⚠ slug introuvable")</f>
        <v>fillers-panels-moldings</v>
      </c>
      <c r="K290" t="str">
        <v>fillers-base-wall-tall</v>
      </c>
      <c r="L290" t="str">
        <f>IFERROR(VLOOKUP(J290,Categories!$A$2:$C$41,3,FALSE()),"⚠ slug introuvable")</f>
        <v>Fillers, panneaux &amp; moulures</v>
      </c>
      <c r="M290" t="str">
        <f>IFERROR(VLOOKUP(K290,Categories!$A$2:$C$41,3,FALSE()),"⚠ slug introuvable")</f>
        <v>Fillers bas/mural/haut</v>
      </c>
      <c r="N290" t="str">
        <v>Filler pleine hauteur pour armoire de cuisine</v>
      </c>
      <c r="O290" t="str">
        <f>CONCAT(N290," (",AA290,""" x ",AB290,""")")</f>
        <v>Filler pleine hauteur pour armoire de cuisine (3" x 120")</v>
      </c>
      <c r="P290" t="str">
        <f>CONCAT("Filler pleine hauteur"," (",AA290,""" x ",AB290,""")")</f>
        <v>Filler pleine hauteur (3" x 120")</v>
      </c>
      <c r="Q290" s="1">
        <v>270</v>
      </c>
      <c r="R290" s="1">
        <f>Q290/11.25</f>
        <v>24</v>
      </c>
      <c r="S290" s="1">
        <f>R290*1.4</f>
        <v>33.599999999999994</v>
      </c>
      <c r="T290" s="1">
        <f>S290*1.1</f>
        <v>36.959999999999994</v>
      </c>
      <c r="U290" s="1">
        <f>T290*1.2</f>
        <v>44.35199999999999</v>
      </c>
      <c r="V290" s="1">
        <f>U290*1.2</f>
        <v>53.222399999999986</v>
      </c>
      <c r="W290" s="1">
        <f>V290*1.1</f>
        <v>58.54463999999999</v>
      </c>
      <c r="X290" s="1">
        <f>W290</f>
        <v>58.54463999999999</v>
      </c>
      <c r="Y290" s="2">
        <v>0.4</v>
      </c>
      <c r="Z290" s="1">
        <f>X290*(1+Y290)</f>
        <v>81.96249599999997</v>
      </c>
      <c r="AA290">
        <v>3</v>
      </c>
      <c r="AB290">
        <v>120</v>
      </c>
      <c r="AC290">
        <v>0.75</v>
      </c>
      <c r="AD290" t="str">
        <v>N/A</v>
      </c>
      <c r="AE290" t="str">
        <v>N/A</v>
      </c>
      <c r="AF290" t="str">
        <v>Full-height filler for kitchen cabinet (3" x 120")</v>
      </c>
      <c r="AG290" t="str">
        <v>Full-height filler (3" x 120")</v>
      </c>
    </row>
    <row r="291" hidden="1">
      <c r="A291" t="str">
        <v>S8-WF6*126</v>
      </c>
      <c r="E291" t="b">
        <f>IF(OR(B291=TRUE,C291=TRUE,D291=TRUE),FALSE,TRUE)</f>
        <v>1</v>
      </c>
      <c r="G291" t="str">
        <v>TF6-126</v>
      </c>
      <c r="H291" t="str">
        <f>IF(ISNUMBER(SEARCH("muf",A291)),"Chêne blanc","Blanc")</f>
        <v>Blanc</v>
      </c>
      <c r="I291" t="str">
        <f>CONCAT(G291,IF(H291="","",IF(H291="Blanc","-CW","-WWO")))</f>
        <v>TF6-126-CW</v>
      </c>
      <c r="J291" t="str">
        <v>fillers-panels-moldings</v>
      </c>
      <c r="K291" t="str">
        <v>fillers-base-wall-tall</v>
      </c>
      <c r="L291" t="str">
        <f>IFERROR(VLOOKUP(J291,Categories!$A$2:$C$41,3,FALSE()),"⚠ slug introuvable")</f>
        <v>Fillers, panneaux &amp; moulures</v>
      </c>
      <c r="M291" t="str">
        <f>IFERROR(VLOOKUP(K291,Categories!$A$2:$C$41,3,FALSE()),"⚠ slug introuvable")</f>
        <v>Fillers bas/mural/haut</v>
      </c>
      <c r="N291" t="str">
        <v>Filler pleine hauteur pour armoire de cuisine</v>
      </c>
      <c r="O291" t="str">
        <f>CONCAT(N291," (",AA291,""" x ",AB291,""")")</f>
        <v>Filler pleine hauteur pour armoire de cuisine (6" x 126")</v>
      </c>
      <c r="P291" t="str">
        <f>CONCAT("Filler pleine hauteur"," (",AA291,""" x ",AB291,""")")</f>
        <v>Filler pleine hauteur (6" x 126")</v>
      </c>
      <c r="Q291" s="1">
        <v>322</v>
      </c>
      <c r="R291" s="1">
        <f>Q291/11.25</f>
        <v>28.622222222222224</v>
      </c>
      <c r="S291" s="1">
        <f>R291*1.4</f>
        <v>40.07111111111111</v>
      </c>
      <c r="T291" s="1">
        <f>S291*1.1</f>
        <v>44.07822222222222</v>
      </c>
      <c r="U291" s="1">
        <f>T291*1.2</f>
        <v>52.89386666666667</v>
      </c>
      <c r="V291" s="1">
        <f>U291*1.2</f>
        <v>63.47264</v>
      </c>
      <c r="W291" s="1">
        <f>V291*1.1</f>
        <v>69.81990400000001</v>
      </c>
      <c r="X291" s="1">
        <f>W291</f>
        <v>69.81990400000001</v>
      </c>
      <c r="Y291" s="2">
        <v>0.4</v>
      </c>
      <c r="Z291" s="1">
        <f>X291*(1+Y291)</f>
        <v>97.74786560000001</v>
      </c>
      <c r="AA291">
        <v>6</v>
      </c>
      <c r="AB291">
        <v>126</v>
      </c>
      <c r="AC291">
        <v>0.75</v>
      </c>
      <c r="AD291" t="str">
        <v>N/A</v>
      </c>
      <c r="AE291" t="str">
        <v>N/A</v>
      </c>
      <c r="AF291" t="str">
        <v>Full-height filler for kitchen cabinet (6" x 126")</v>
      </c>
      <c r="AG291" t="str">
        <v>Full-height filler (6" x 126")</v>
      </c>
    </row>
    <row r="292" hidden="1">
      <c r="A292" t="str">
        <v>S8-WF6*126-muf</v>
      </c>
      <c r="E292" t="b">
        <f>IF(OR(B292=TRUE,C292=TRUE,D292=TRUE),FALSE,TRUE)</f>
        <v>1</v>
      </c>
      <c r="G292" t="str">
        <v>TF6-126</v>
      </c>
      <c r="H292" t="str">
        <f>IF(ISNUMBER(SEARCH("muf",A292)),"Chêne blanc","Blanc")</f>
        <v>Chêne blanc</v>
      </c>
      <c r="I292" t="str">
        <f>CONCAT(G292,IF(H292="","",IF(H292="Blanc","-CW","-WWO")))</f>
        <v>TF6-126-WWO</v>
      </c>
      <c r="J292" t="str">
        <f>IFERROR(VLOOKUP(K292,Categories!$A$2:$C$41,2,FALSE()),"⚠ slug introuvable")</f>
        <v>fillers-panels-moldings</v>
      </c>
      <c r="K292" t="str">
        <v>fillers-base-wall-tall</v>
      </c>
      <c r="L292" t="str">
        <f>IFERROR(VLOOKUP(J292,Categories!$A$2:$C$41,3,FALSE()),"⚠ slug introuvable")</f>
        <v>Fillers, panneaux &amp; moulures</v>
      </c>
      <c r="M292" t="str">
        <f>IFERROR(VLOOKUP(K292,Categories!$A$2:$C$41,3,FALSE()),"⚠ slug introuvable")</f>
        <v>Fillers bas/mural/haut</v>
      </c>
      <c r="N292" t="str">
        <v>Filler pleine hauteur pour armoire de cuisine</v>
      </c>
      <c r="O292" t="str">
        <f>CONCAT(N292," (",AA292,""" x ",AB292,""")")</f>
        <v>Filler pleine hauteur pour armoire de cuisine (6" x 126")</v>
      </c>
      <c r="P292" t="str">
        <f>CONCAT("Filler pleine hauteur"," (",AA292,""" x ",AB292,""")")</f>
        <v>Filler pleine hauteur (6" x 126")</v>
      </c>
      <c r="Q292" s="1">
        <v>515</v>
      </c>
      <c r="R292" s="1">
        <f>Q292/11.25</f>
        <v>45.77777777777778</v>
      </c>
      <c r="S292" s="1">
        <f>R292*1.4</f>
        <v>64.08888888888889</v>
      </c>
      <c r="T292" s="1">
        <f>S292*1.1</f>
        <v>70.49777777777778</v>
      </c>
      <c r="U292" s="1">
        <f>T292*1.2</f>
        <v>84.59733333333334</v>
      </c>
      <c r="V292" s="1">
        <f>U292*1.2</f>
        <v>101.5168</v>
      </c>
      <c r="W292" s="1">
        <f>V292*1.1</f>
        <v>111.66848000000002</v>
      </c>
      <c r="X292" s="1">
        <f>W292</f>
        <v>111.66848000000002</v>
      </c>
      <c r="Y292" s="2">
        <v>0.4</v>
      </c>
      <c r="Z292" s="1">
        <f>X292*(1+Y292)</f>
        <v>156.33587200000002</v>
      </c>
      <c r="AA292">
        <v>6</v>
      </c>
      <c r="AB292">
        <v>126</v>
      </c>
      <c r="AC292">
        <v>0.75</v>
      </c>
      <c r="AD292" t="str">
        <v>N/A</v>
      </c>
      <c r="AE292" t="str">
        <v>N/A</v>
      </c>
      <c r="AF292" t="str">
        <v>Full-height filler for kitchen cabinet (6" x 126")</v>
      </c>
      <c r="AG292" t="str">
        <v>Full-height filler (6" x 126")</v>
      </c>
    </row>
    <row r="293" hidden="1">
      <c r="A293" t="str">
        <v>S8-WF636</v>
      </c>
      <c r="E293" t="b">
        <f>IF(OR(B293=TRUE,C293=TRUE,D293=TRUE),FALSE,TRUE)</f>
        <v>1</v>
      </c>
      <c r="G293" t="str">
        <v>WF636</v>
      </c>
      <c r="H293" t="str">
        <f>IF(ISNUMBER(SEARCH("muf",A293)),"Chêne blanc","Blanc")</f>
        <v>Blanc</v>
      </c>
      <c r="I293" t="str">
        <f>CONCAT(G293,IF(H293="","",IF(H293="Blanc","-CW","-WWO")))</f>
        <v>WF636-CW</v>
      </c>
      <c r="J293" t="str">
        <v>fillers-panels-moldings</v>
      </c>
      <c r="K293" t="str">
        <v>fillers-base-wall-tall</v>
      </c>
      <c r="L293" t="str">
        <f>IFERROR(VLOOKUP(J293,Categories!$A$2:$C$41,3,FALSE()),"⚠ slug introuvable")</f>
        <v>Fillers, panneaux &amp; moulures</v>
      </c>
      <c r="M293" t="str">
        <f>IFERROR(VLOOKUP(K293,Categories!$A$2:$C$41,3,FALSE()),"⚠ slug introuvable")</f>
        <v>Fillers bas/mural/haut</v>
      </c>
      <c r="N293" t="str">
        <v>Filler pleine hauteur pour armoire de cuisine</v>
      </c>
      <c r="O293" t="str">
        <f>CONCAT(N293," (",AA293,""" x ",AB293,""")")</f>
        <v>Filler pleine hauteur pour armoire de cuisine (6" x 36")</v>
      </c>
      <c r="P293" t="str">
        <f>CONCAT("Filler pleine hauteur"," (",AA293,""" x ",AB293,""")")</f>
        <v>Filler pleine hauteur (6" x 36")</v>
      </c>
      <c r="Q293" s="1">
        <v>88</v>
      </c>
      <c r="R293" s="1">
        <f>Q293/11.25</f>
        <v>7.822222222222222</v>
      </c>
      <c r="S293" s="1">
        <f>R293*1.4</f>
        <v>10.95111111111111</v>
      </c>
      <c r="T293" s="1">
        <f>S293*1.1</f>
        <v>12.046222222222223</v>
      </c>
      <c r="U293" s="1">
        <f>T293*1.2</f>
        <v>14.455466666666666</v>
      </c>
      <c r="V293" s="1">
        <f>U293*1.2</f>
        <v>17.34656</v>
      </c>
      <c r="W293" s="1">
        <f>V293*1.1</f>
        <v>19.081216</v>
      </c>
      <c r="X293" s="1">
        <f>W293</f>
        <v>19.081216</v>
      </c>
      <c r="Y293" s="2">
        <v>0.4</v>
      </c>
      <c r="Z293" s="1">
        <f>X293*(1+Y293)</f>
        <v>26.7137024</v>
      </c>
      <c r="AA293">
        <v>6</v>
      </c>
      <c r="AB293">
        <v>36</v>
      </c>
      <c r="AC293">
        <v>0.75</v>
      </c>
      <c r="AD293" t="str">
        <v>N/A</v>
      </c>
      <c r="AE293" t="str">
        <v>N/A</v>
      </c>
      <c r="AF293" t="str">
        <v>Full-height filler for kitchen cabinet (6" x 36")</v>
      </c>
      <c r="AG293" t="str">
        <v>Full-height filler (6" x 36")</v>
      </c>
    </row>
    <row r="294" hidden="1">
      <c r="A294" t="str">
        <v>S8-WF636-muf</v>
      </c>
      <c r="E294" t="b">
        <f>IF(OR(B294=TRUE,C294=TRUE,D294=TRUE),FALSE,TRUE)</f>
        <v>1</v>
      </c>
      <c r="G294" t="str">
        <v>WF636</v>
      </c>
      <c r="H294" t="str">
        <f>IF(ISNUMBER(SEARCH("muf",A294)),"Chêne blanc","Blanc")</f>
        <v>Chêne blanc</v>
      </c>
      <c r="I294" t="str">
        <f>CONCAT(G294,IF(H294="","",IF(H294="Blanc","-CW","-WWO")))</f>
        <v>WF636-WWO</v>
      </c>
      <c r="J294" t="str">
        <f>IFERROR(VLOOKUP(K294,Categories!$A$2:$C$41,2,FALSE()),"⚠ slug introuvable")</f>
        <v>fillers-panels-moldings</v>
      </c>
      <c r="K294" t="str">
        <v>fillers-base-wall-tall</v>
      </c>
      <c r="L294" t="str">
        <f>IFERROR(VLOOKUP(J294,Categories!$A$2:$C$41,3,FALSE()),"⚠ slug introuvable")</f>
        <v>Fillers, panneaux &amp; moulures</v>
      </c>
      <c r="M294" t="str">
        <f>IFERROR(VLOOKUP(K294,Categories!$A$2:$C$41,3,FALSE()),"⚠ slug introuvable")</f>
        <v>Fillers bas/mural/haut</v>
      </c>
      <c r="N294" t="str">
        <v>Filler pleine hauteur pour armoire de cuisine</v>
      </c>
      <c r="O294" t="str">
        <f>CONCAT(N294," (",AA294,""" x ",AB294,""")")</f>
        <v>Filler pleine hauteur pour armoire de cuisine (6" x 36")</v>
      </c>
      <c r="P294" t="str">
        <f>CONCAT("Filler pleine hauteur"," (",AA294,""" x ",AB294,""")")</f>
        <v>Filler pleine hauteur (6" x 36")</v>
      </c>
      <c r="Q294" s="1">
        <v>240.75</v>
      </c>
      <c r="R294" s="1">
        <f>Q294/11.25</f>
        <v>21.4</v>
      </c>
      <c r="S294" s="1">
        <f>R294*1.4</f>
        <v>29.959999999999997</v>
      </c>
      <c r="T294" s="1">
        <f>S294*1.1</f>
        <v>32.956</v>
      </c>
      <c r="U294" s="1">
        <f>T294*1.2</f>
        <v>39.547200000000004</v>
      </c>
      <c r="V294" s="1">
        <f>U294*1.2</f>
        <v>47.45664</v>
      </c>
      <c r="W294" s="1">
        <f>V294*1.1</f>
        <v>52.202304000000005</v>
      </c>
      <c r="X294" s="1">
        <f>W294</f>
        <v>52.202304000000005</v>
      </c>
      <c r="Y294" s="2">
        <v>0.4</v>
      </c>
      <c r="Z294" s="1">
        <f>X294*(1+Y294)</f>
        <v>73.0832256</v>
      </c>
      <c r="AA294">
        <v>6</v>
      </c>
      <c r="AB294">
        <v>36</v>
      </c>
      <c r="AC294">
        <v>0.75</v>
      </c>
      <c r="AD294" t="str">
        <v>N/A</v>
      </c>
      <c r="AE294" t="str">
        <v>N/A</v>
      </c>
      <c r="AF294" t="str">
        <v>Full-height filler for kitchen cabinet (6" x 36")</v>
      </c>
      <c r="AG294" t="str">
        <v>Full-height filler (6" x 36")</v>
      </c>
    </row>
    <row r="295" hidden="1">
      <c r="A295" t="str">
        <v>S8-WF696</v>
      </c>
      <c r="E295" t="b">
        <f>IF(OR(B295=TRUE,C295=TRUE,D295=TRUE),FALSE,TRUE)</f>
        <v>1</v>
      </c>
      <c r="G295" t="str">
        <v>TF696</v>
      </c>
      <c r="H295" t="str">
        <f>IF(ISNUMBER(SEARCH("muf",A295)),"Chêne blanc","Blanc")</f>
        <v>Blanc</v>
      </c>
      <c r="I295" t="str">
        <f>CONCAT(G295,IF(H295="","",IF(H295="Blanc","-CW","-WWO")))</f>
        <v>TF696-CW</v>
      </c>
      <c r="J295" t="str">
        <v>fillers-panels-moldings</v>
      </c>
      <c r="K295" t="str">
        <v>fillers-base-wall-tall</v>
      </c>
      <c r="L295" t="str">
        <f>IFERROR(VLOOKUP(J295,Categories!$A$2:$C$41,3,FALSE()),"⚠ slug introuvable")</f>
        <v>Fillers, panneaux &amp; moulures</v>
      </c>
      <c r="M295" t="str">
        <f>IFERROR(VLOOKUP(K295,Categories!$A$2:$C$41,3,FALSE()),"⚠ slug introuvable")</f>
        <v>Fillers bas/mural/haut</v>
      </c>
      <c r="N295" t="str">
        <v>Filler pleine hauteur pour armoire de cuisine</v>
      </c>
      <c r="O295" t="str">
        <f>CONCAT(N295," (",AA295,""" x ",AB295,""")")</f>
        <v>Filler pleine hauteur pour armoire de cuisine (6" x 96")</v>
      </c>
      <c r="P295" t="str">
        <f>CONCAT("Filler pleine hauteur"," (",AA295,""" x ",AB295,""")")</f>
        <v>Filler pleine hauteur (6" x 96")</v>
      </c>
      <c r="Q295" s="1">
        <v>251</v>
      </c>
      <c r="R295" s="1">
        <f>Q295/11.25</f>
        <v>22.31111111111111</v>
      </c>
      <c r="S295" s="1">
        <f>R295*1.4</f>
        <v>31.235555555555553</v>
      </c>
      <c r="T295" s="1">
        <f>S295*1.1</f>
        <v>34.35911111111111</v>
      </c>
      <c r="U295" s="1">
        <f>T295*1.2</f>
        <v>41.23093333333333</v>
      </c>
      <c r="V295" s="1">
        <f>U295*1.2</f>
        <v>49.47712</v>
      </c>
      <c r="W295" s="1">
        <f>V295*1.1</f>
        <v>54.424832</v>
      </c>
      <c r="X295" s="1">
        <f>W295</f>
        <v>54.424832</v>
      </c>
      <c r="Y295" s="2">
        <v>0.4</v>
      </c>
      <c r="Z295" s="1">
        <f>X295*(1+Y295)</f>
        <v>76.1947648</v>
      </c>
      <c r="AA295">
        <v>6</v>
      </c>
      <c r="AB295">
        <v>96</v>
      </c>
      <c r="AC295">
        <v>0.75</v>
      </c>
      <c r="AD295" t="str">
        <v>N/A</v>
      </c>
      <c r="AE295" t="str">
        <v>N/A</v>
      </c>
      <c r="AF295" t="str">
        <v>Full-height filler for kitchen cabinet (6" x 96")</v>
      </c>
      <c r="AG295" t="str">
        <v>Full-height filler (6" x 96")</v>
      </c>
    </row>
    <row r="296" hidden="1">
      <c r="A296" t="str">
        <v>S8-WF696-muf</v>
      </c>
      <c r="E296" t="b">
        <f>IF(OR(B296=TRUE,C296=TRUE,D296=TRUE),FALSE,TRUE)</f>
        <v>1</v>
      </c>
      <c r="G296" t="str">
        <v>TF696</v>
      </c>
      <c r="H296" t="str">
        <f>IF(ISNUMBER(SEARCH("muf",A296)),"Chêne blanc","Blanc")</f>
        <v>Chêne blanc</v>
      </c>
      <c r="I296" t="str">
        <f>CONCAT(G296,IF(H296="","",IF(H296="Blanc","-CW","-WWO")))</f>
        <v>TF696-WWO</v>
      </c>
      <c r="J296" t="str">
        <f>IFERROR(VLOOKUP(K296,Categories!$A$2:$C$41,2,FALSE()),"⚠ slug introuvable")</f>
        <v>fillers-panels-moldings</v>
      </c>
      <c r="K296" t="str">
        <v>fillers-base-wall-tall</v>
      </c>
      <c r="L296" t="str">
        <f>IFERROR(VLOOKUP(J296,Categories!$A$2:$C$41,3,FALSE()),"⚠ slug introuvable")</f>
        <v>Fillers, panneaux &amp; moulures</v>
      </c>
      <c r="M296" t="str">
        <f>IFERROR(VLOOKUP(K296,Categories!$A$2:$C$41,3,FALSE()),"⚠ slug introuvable")</f>
        <v>Fillers bas/mural/haut</v>
      </c>
      <c r="N296" t="str">
        <v>Filler pleine hauteur pour armoire de cuisine</v>
      </c>
      <c r="O296" t="str">
        <f>CONCAT(N296," (",AA296,""" x ",AB296,""")")</f>
        <v>Filler pleine hauteur pour armoire de cuisine (6" x 96")</v>
      </c>
      <c r="P296" t="str">
        <f>CONCAT("Filler pleine hauteur"," (",AA296,""" x ",AB296,""")")</f>
        <v>Filler pleine hauteur (6" x 96")</v>
      </c>
      <c r="Q296" s="1">
        <v>413</v>
      </c>
      <c r="R296" s="1">
        <f>Q296/11.25</f>
        <v>36.71111111111111</v>
      </c>
      <c r="S296" s="1">
        <f>R296*1.4</f>
        <v>51.395555555555546</v>
      </c>
      <c r="T296" s="1">
        <f>S296*1.1</f>
        <v>56.53511111111111</v>
      </c>
      <c r="U296" s="1">
        <f>T296*1.2</f>
        <v>67.84213333333332</v>
      </c>
      <c r="V296" s="1">
        <f>U296*1.2</f>
        <v>81.41055999999999</v>
      </c>
      <c r="W296" s="1">
        <f>V296*1.1</f>
        <v>89.551616</v>
      </c>
      <c r="X296" s="1">
        <f>W296</f>
        <v>89.551616</v>
      </c>
      <c r="Y296" s="2">
        <v>0.4</v>
      </c>
      <c r="Z296" s="1">
        <f>X296*(1+Y296)</f>
        <v>125.37226239999998</v>
      </c>
      <c r="AA296">
        <v>6</v>
      </c>
      <c r="AB296">
        <v>96</v>
      </c>
      <c r="AC296">
        <v>0.75</v>
      </c>
      <c r="AD296" t="str">
        <v>N/A</v>
      </c>
      <c r="AE296" t="str">
        <v>N/A</v>
      </c>
      <c r="AF296" t="str">
        <v>Full-height filler for kitchen cabinet (6" x 96")</v>
      </c>
      <c r="AG296" t="str">
        <v>Full-height filler (6" x 96")</v>
      </c>
    </row>
    <row r="297" hidden="1">
      <c r="A297" t="str">
        <v>S8-WF6X120</v>
      </c>
      <c r="E297" t="b">
        <f>IF(OR(B297=TRUE,C297=TRUE,D297=TRUE),FALSE,TRUE)</f>
        <v>1</v>
      </c>
      <c r="G297" t="str">
        <v>TF6-120</v>
      </c>
      <c r="H297" t="str">
        <f>IF(ISNUMBER(SEARCH("muf",A297)),"Chêne blanc","Blanc")</f>
        <v>Blanc</v>
      </c>
      <c r="I297" t="str">
        <f>CONCAT(G297,IF(H297="","",IF(H297="Blanc","-CW","-WWO")))</f>
        <v>TF6-120-CW</v>
      </c>
      <c r="J297" t="str">
        <v>fillers-panels-moldings</v>
      </c>
      <c r="K297" t="str">
        <v>fillers-base-wall-tall</v>
      </c>
      <c r="L297" t="str">
        <f>IFERROR(VLOOKUP(J297,Categories!$A$2:$C$41,3,FALSE()),"⚠ slug introuvable")</f>
        <v>Fillers, panneaux &amp; moulures</v>
      </c>
      <c r="M297" t="str">
        <f>IFERROR(VLOOKUP(K297,Categories!$A$2:$C$41,3,FALSE()),"⚠ slug introuvable")</f>
        <v>Fillers bas/mural/haut</v>
      </c>
      <c r="N297" t="str">
        <v>Filler pleine hauteur pour armoire de cuisine</v>
      </c>
      <c r="O297" t="str">
        <f>CONCAT(N297," (",AA297,""" x ",AB297,""")")</f>
        <v>Filler pleine hauteur pour armoire de cuisine (6" x 120")</v>
      </c>
      <c r="P297" t="str">
        <f>CONCAT("Filler pleine hauteur"," (",AA297,""" x ",AB297,""")")</f>
        <v>Filler pleine hauteur (6" x 120")</v>
      </c>
      <c r="Q297" s="1">
        <v>306</v>
      </c>
      <c r="R297" s="1">
        <f>Q297/11.25</f>
        <v>27.2</v>
      </c>
      <c r="S297" s="1">
        <f>R297*1.4</f>
        <v>38.08</v>
      </c>
      <c r="T297" s="1">
        <f>S297*1.1</f>
        <v>41.888</v>
      </c>
      <c r="U297" s="1">
        <f>T297*1.2</f>
        <v>50.2656</v>
      </c>
      <c r="V297" s="1">
        <f>U297*1.2</f>
        <v>60.31872</v>
      </c>
      <c r="W297" s="1">
        <f>V297*1.1</f>
        <v>66.350592</v>
      </c>
      <c r="X297" s="1">
        <f>W297</f>
        <v>66.350592</v>
      </c>
      <c r="Y297" s="2">
        <v>0.4</v>
      </c>
      <c r="Z297" s="1">
        <f>X297*(1+Y297)</f>
        <v>92.89082880000001</v>
      </c>
      <c r="AA297">
        <v>6</v>
      </c>
      <c r="AB297">
        <v>120</v>
      </c>
      <c r="AC297">
        <v>0.75</v>
      </c>
      <c r="AD297" t="str">
        <v>N/A</v>
      </c>
      <c r="AE297" t="str">
        <v>N/A</v>
      </c>
      <c r="AF297" t="str">
        <v>Full-height filler for kitchen cabinet (6" x 120")</v>
      </c>
      <c r="AG297" t="str">
        <v>Full-height filler (6" x 120")</v>
      </c>
    </row>
    <row r="298" hidden="1">
      <c r="A298" t="str">
        <v>S8-WF6X120-muf</v>
      </c>
      <c r="E298" t="b">
        <f>IF(OR(B298=TRUE,C298=TRUE,D298=TRUE),FALSE,TRUE)</f>
        <v>1</v>
      </c>
      <c r="G298" t="str">
        <v>TF6-120</v>
      </c>
      <c r="H298" t="str">
        <f>IF(ISNUMBER(SEARCH("muf",A298)),"Chêne blanc","Blanc")</f>
        <v>Chêne blanc</v>
      </c>
      <c r="I298" t="str">
        <f>CONCAT(G298,IF(H298="","",IF(H298="Blanc","-CW","-WWO")))</f>
        <v>TF6-120-WWO</v>
      </c>
      <c r="J298" t="str">
        <f>IFERROR(VLOOKUP(K298,Categories!$A$2:$C$41,2,FALSE()),"⚠ slug introuvable")</f>
        <v>fillers-panels-moldings</v>
      </c>
      <c r="K298" t="str">
        <v>fillers-base-wall-tall</v>
      </c>
      <c r="L298" t="str">
        <f>IFERROR(VLOOKUP(J298,Categories!$A$2:$C$41,3,FALSE()),"⚠ slug introuvable")</f>
        <v>Fillers, panneaux &amp; moulures</v>
      </c>
      <c r="M298" t="str">
        <f>IFERROR(VLOOKUP(K298,Categories!$A$2:$C$41,3,FALSE()),"⚠ slug introuvable")</f>
        <v>Fillers bas/mural/haut</v>
      </c>
      <c r="N298" t="str">
        <v>Filler pleine hauteur pour armoire de cuisine</v>
      </c>
      <c r="O298" t="str">
        <f>CONCAT(N298," (",AA298,""" x ",AB298,""")")</f>
        <v>Filler pleine hauteur pour armoire de cuisine (6" x 120")</v>
      </c>
      <c r="P298" t="str">
        <f>CONCAT("Filler pleine hauteur"," (",AA298,""" x ",AB298,""")")</f>
        <v>Filler pleine hauteur (6" x 120")</v>
      </c>
      <c r="Q298" s="1">
        <v>496</v>
      </c>
      <c r="R298" s="1">
        <f>Q298/11.25</f>
        <v>44.08888888888889</v>
      </c>
      <c r="S298" s="1">
        <f>R298*1.4</f>
        <v>61.72444444444444</v>
      </c>
      <c r="T298" s="1">
        <f>S298*1.1</f>
        <v>67.89688888888888</v>
      </c>
      <c r="U298" s="1">
        <f>T298*1.2</f>
        <v>81.47626666666666</v>
      </c>
      <c r="V298" s="1">
        <f>U298*1.2</f>
        <v>97.77152</v>
      </c>
      <c r="W298" s="1">
        <f>V298*1.1</f>
        <v>107.54867200000001</v>
      </c>
      <c r="X298" s="1">
        <f>W298</f>
        <v>107.54867200000001</v>
      </c>
      <c r="Y298" s="2">
        <v>0.4</v>
      </c>
      <c r="Z298" s="1">
        <f>X298*(1+Y298)</f>
        <v>150.5681408</v>
      </c>
      <c r="AA298">
        <v>6</v>
      </c>
      <c r="AB298">
        <v>120</v>
      </c>
      <c r="AC298">
        <v>0.75</v>
      </c>
      <c r="AD298" t="str">
        <v>N/A</v>
      </c>
      <c r="AE298" t="str">
        <v>N/A</v>
      </c>
      <c r="AF298" t="str">
        <v>Full-height filler for kitchen cabinet (6" x 120")</v>
      </c>
      <c r="AG298" t="str">
        <v>Full-height filler (6" x 120")</v>
      </c>
    </row>
    <row r="299" hidden="1">
      <c r="A299" t="str">
        <v>S8-WP129327</v>
      </c>
      <c r="E299" t="b">
        <f>IF(OR(B299=TRUE,C299=TRUE,D299=TRUE),FALSE,TRUE)</f>
        <v>1</v>
      </c>
      <c r="G299" t="str">
        <v>PUC1293</v>
      </c>
      <c r="H299" t="str">
        <f>IF(ISNUMBER(SEARCH("muf",A299)),"Chêne blanc","Blanc")</f>
        <v>Blanc</v>
      </c>
      <c r="I299" t="str">
        <f>CONCAT(G299,IF(H299="","",IF(H299="Blanc","-CW","-WWO")))</f>
        <v>PUC1293-CW</v>
      </c>
      <c r="J299" t="str">
        <v>utility-cabinet</v>
      </c>
      <c r="K299" t="str">
        <v>pantry</v>
      </c>
      <c r="L299" t="str">
        <f>IFERROR(VLOOKUP(J299,Categories!$A$2:$C$41,3,FALSE()),"⚠ slug introuvable")</f>
        <v>Armoire utilitaire</v>
      </c>
      <c r="M299" t="str">
        <f>IFERROR(VLOOKUP(K299,Categories!$A$2:$C$41,3,FALSE()),"⚠ slug introuvable")</f>
        <v>Garde-manger</v>
      </c>
      <c r="N299" t="str">
        <v>Armoire de cuisine garde-manger</v>
      </c>
      <c r="O299" t="str">
        <f>CONCAT(N299," (",AA299,""" x ",AB299,""")")</f>
        <v>Armoire de cuisine garde-manger (12" x 93")</v>
      </c>
      <c r="P299" t="str">
        <f>CONCAT("Garde-manger"," (",AA299,""" x ",AB299,""")")</f>
        <v>Garde-manger (12" x 93")</v>
      </c>
      <c r="Q299" s="1">
        <v>1528</v>
      </c>
      <c r="R299" s="1">
        <f>Q299/11.25</f>
        <v>135.82222222222222</v>
      </c>
      <c r="S299" s="1">
        <f>R299*1.4</f>
        <v>190.1511111111111</v>
      </c>
      <c r="T299" s="1">
        <f>S299*1.1</f>
        <v>209.16622222222225</v>
      </c>
      <c r="U299" s="1">
        <f>T299*1.2</f>
        <v>250.99946666666668</v>
      </c>
      <c r="V299" s="1">
        <f>U299*1.2</f>
        <v>301.19936</v>
      </c>
      <c r="W299" s="1">
        <f>V299*1.1</f>
        <v>331.31929600000007</v>
      </c>
      <c r="X299" s="1">
        <f>W299</f>
        <v>331.31929600000007</v>
      </c>
      <c r="Y299" s="2">
        <v>0.4</v>
      </c>
      <c r="Z299" s="1">
        <f>X299*(1+Y299)</f>
        <v>463.84701440000003</v>
      </c>
      <c r="AA299">
        <v>12</v>
      </c>
      <c r="AB299">
        <v>93</v>
      </c>
      <c r="AC299">
        <v>27</v>
      </c>
      <c r="AD299">
        <v>2</v>
      </c>
      <c r="AE299">
        <v>0</v>
      </c>
      <c r="AF299" t="str">
        <v>Pantry kitchen cabinet (12" x 93")</v>
      </c>
      <c r="AG299" t="str">
        <v>Pantry (12" x 93")</v>
      </c>
    </row>
    <row r="300" hidden="1">
      <c r="A300" t="str">
        <v>S8-WP159327</v>
      </c>
      <c r="E300" t="b">
        <f>IF(OR(B300=TRUE,C300=TRUE,D300=TRUE),FALSE,TRUE)</f>
        <v>1</v>
      </c>
      <c r="G300" t="str">
        <v>PUC1593</v>
      </c>
      <c r="H300" t="str">
        <f>IF(ISNUMBER(SEARCH("muf",A300)),"Chêne blanc","Blanc")</f>
        <v>Blanc</v>
      </c>
      <c r="I300" t="str">
        <f>CONCAT(G300,IF(H300="","",IF(H300="Blanc","-CW","-WWO")))</f>
        <v>PUC1593-CW</v>
      </c>
      <c r="J300" t="str">
        <v>utility-cabinet</v>
      </c>
      <c r="K300" t="str">
        <v>pantry</v>
      </c>
      <c r="L300" t="str">
        <f>IFERROR(VLOOKUP(J300,Categories!$A$2:$C$41,3,FALSE()),"⚠ slug introuvable")</f>
        <v>Armoire utilitaire</v>
      </c>
      <c r="M300" t="str">
        <f>IFERROR(VLOOKUP(K300,Categories!$A$2:$C$41,3,FALSE()),"⚠ slug introuvable")</f>
        <v>Garde-manger</v>
      </c>
      <c r="N300" t="str">
        <v>Armoire de cuisine garde-manger</v>
      </c>
      <c r="O300" t="str">
        <f>CONCAT(N300," (",AA300,""" x ",AB300,""")")</f>
        <v>Armoire de cuisine garde-manger (15" x 93")</v>
      </c>
      <c r="P300" t="str">
        <f>CONCAT("Garde-manger"," (",AA300,""" x ",AB300,""")")</f>
        <v>Garde-manger (15" x 93")</v>
      </c>
      <c r="Q300" s="1">
        <v>1650</v>
      </c>
      <c r="R300" s="1">
        <f>Q300/11.25</f>
        <v>146.66666666666666</v>
      </c>
      <c r="S300" s="1">
        <f>R300*1.4</f>
        <v>205.33333333333331</v>
      </c>
      <c r="T300" s="1">
        <f>S300*1.1</f>
        <v>225.86666666666667</v>
      </c>
      <c r="U300" s="1">
        <f>T300*1.2</f>
        <v>271.04</v>
      </c>
      <c r="V300" s="1">
        <f>U300*1.2</f>
        <v>325.248</v>
      </c>
      <c r="W300" s="1">
        <f>V300*1.1</f>
        <v>357.7728</v>
      </c>
      <c r="X300" s="1">
        <f>W300</f>
        <v>357.7728</v>
      </c>
      <c r="Y300" s="2">
        <v>0.4</v>
      </c>
      <c r="Z300" s="1">
        <f>X300*(1+Y300)</f>
        <v>500.88192</v>
      </c>
      <c r="AA300">
        <v>15</v>
      </c>
      <c r="AB300">
        <v>93</v>
      </c>
      <c r="AC300">
        <v>27</v>
      </c>
      <c r="AD300">
        <v>2</v>
      </c>
      <c r="AE300">
        <v>0</v>
      </c>
      <c r="AF300" t="str">
        <v>Pantry kitchen cabinet (15" x 93")</v>
      </c>
      <c r="AG300" t="str">
        <v>Pantry (15" x 93")</v>
      </c>
    </row>
    <row r="301" hidden="1">
      <c r="A301" t="str">
        <v>S8-WP188427</v>
      </c>
      <c r="E301" t="b">
        <f>IF(OR(B301=TRUE,C301=TRUE,D301=TRUE),FALSE,TRUE)</f>
        <v>1</v>
      </c>
      <c r="G301" t="str">
        <v>PUC1884</v>
      </c>
      <c r="H301" t="str">
        <f>IF(ISNUMBER(SEARCH("muf",A301)),"Chêne blanc","Blanc")</f>
        <v>Blanc</v>
      </c>
      <c r="I301" t="str">
        <f>CONCAT(G301,IF(H301="","",IF(H301="Blanc","-CW","-WWO")))</f>
        <v>PUC1884-CW</v>
      </c>
      <c r="J301" t="str">
        <v>utility-cabinet</v>
      </c>
      <c r="K301" t="str">
        <v>pantry</v>
      </c>
      <c r="L301" t="str">
        <f>IFERROR(VLOOKUP(J301,Categories!$A$2:$C$41,3,FALSE()),"⚠ slug introuvable")</f>
        <v>Armoire utilitaire</v>
      </c>
      <c r="M301" t="str">
        <f>IFERROR(VLOOKUP(K301,Categories!$A$2:$C$41,3,FALSE()),"⚠ slug introuvable")</f>
        <v>Garde-manger</v>
      </c>
      <c r="N301" t="str">
        <v>Armoire de cuisine garde-manger</v>
      </c>
      <c r="O301" t="str">
        <f>CONCAT(N301," (",AA301,""" x ",AB301,""")")</f>
        <v>Armoire de cuisine garde-manger (18" x 84")</v>
      </c>
      <c r="P301" t="str">
        <f>CONCAT("Garde-manger"," (",AA301,""" x ",AB301,""")")</f>
        <v>Garde-manger (18" x 84")</v>
      </c>
      <c r="Q301" s="1">
        <v>1216</v>
      </c>
      <c r="R301" s="1">
        <f>Q301/11.25</f>
        <v>108.08888888888889</v>
      </c>
      <c r="S301" s="1">
        <f>R301*1.4</f>
        <v>151.32444444444442</v>
      </c>
      <c r="T301" s="1">
        <f>S301*1.1</f>
        <v>166.45688888888887</v>
      </c>
      <c r="U301" s="1">
        <f>T301*1.2</f>
        <v>199.74826666666664</v>
      </c>
      <c r="V301" s="1">
        <f>U301*1.2</f>
        <v>239.69791999999995</v>
      </c>
      <c r="W301" s="1">
        <f>V301*1.1</f>
        <v>263.667712</v>
      </c>
      <c r="X301" s="1">
        <f>W301</f>
        <v>263.667712</v>
      </c>
      <c r="Y301" s="2">
        <v>0.4</v>
      </c>
      <c r="Z301" s="1">
        <f>X301*(1+Y301)</f>
        <v>369.13479679999995</v>
      </c>
      <c r="AA301">
        <v>18</v>
      </c>
      <c r="AB301">
        <v>84</v>
      </c>
      <c r="AC301">
        <v>27</v>
      </c>
      <c r="AD301">
        <v>2</v>
      </c>
      <c r="AE301">
        <v>0</v>
      </c>
      <c r="AF301" t="str">
        <v>Pantry kitchen cabinet (18" x 84")</v>
      </c>
      <c r="AG301" t="str">
        <v>Pantry (18" x 84")</v>
      </c>
    </row>
    <row r="302" hidden="1">
      <c r="A302" t="str">
        <v>S8-WP189027</v>
      </c>
      <c r="E302" t="b">
        <f>IF(OR(B302=TRUE,C302=TRUE,D302=TRUE),FALSE,TRUE)</f>
        <v>1</v>
      </c>
      <c r="G302" t="str">
        <v>PUC1890</v>
      </c>
      <c r="H302" t="str">
        <f>IF(ISNUMBER(SEARCH("muf",A302)),"Chêne blanc","Blanc")</f>
        <v>Blanc</v>
      </c>
      <c r="I302" t="str">
        <f>CONCAT(G302,IF(H302="","",IF(H302="Blanc","-CW","-WWO")))</f>
        <v>PUC1890-CW</v>
      </c>
      <c r="J302" t="str">
        <v>utility-cabinet</v>
      </c>
      <c r="K302" t="str">
        <v>pantry</v>
      </c>
      <c r="L302" t="str">
        <f>IFERROR(VLOOKUP(J302,Categories!$A$2:$C$41,3,FALSE()),"⚠ slug introuvable")</f>
        <v>Armoire utilitaire</v>
      </c>
      <c r="M302" t="str">
        <f>IFERROR(VLOOKUP(K302,Categories!$A$2:$C$41,3,FALSE()),"⚠ slug introuvable")</f>
        <v>Garde-manger</v>
      </c>
      <c r="N302" t="str">
        <v>Armoire de cuisine garde-manger</v>
      </c>
      <c r="O302" t="str">
        <f>CONCAT(N302," (",AA302,""" x ",AB302,""")")</f>
        <v>Armoire de cuisine garde-manger (18" x 90")</v>
      </c>
      <c r="P302" t="str">
        <f>CONCAT("Garde-manger"," (",AA302,""" x ",AB302,""")")</f>
        <v>Garde-manger (18" x 90")</v>
      </c>
      <c r="Q302" s="1">
        <v>1349</v>
      </c>
      <c r="R302" s="1">
        <f>Q302/11.25</f>
        <v>119.91111111111111</v>
      </c>
      <c r="S302" s="1">
        <f>R302*1.4</f>
        <v>167.87555555555554</v>
      </c>
      <c r="T302" s="1">
        <f>S302*1.1</f>
        <v>184.6631111111111</v>
      </c>
      <c r="U302" s="1">
        <f>T302*1.2</f>
        <v>221.59573333333333</v>
      </c>
      <c r="V302" s="1">
        <f>U302*1.2</f>
        <v>265.91488</v>
      </c>
      <c r="W302" s="1">
        <f>V302*1.1</f>
        <v>292.506368</v>
      </c>
      <c r="X302" s="1">
        <f>W302</f>
        <v>292.506368</v>
      </c>
      <c r="Y302" s="2">
        <v>0.4</v>
      </c>
      <c r="Z302" s="1">
        <f>X302*(1+Y302)</f>
        <v>409.5089152</v>
      </c>
      <c r="AA302">
        <v>18</v>
      </c>
      <c r="AB302">
        <v>90</v>
      </c>
      <c r="AC302">
        <v>27</v>
      </c>
      <c r="AD302">
        <v>2</v>
      </c>
      <c r="AE302">
        <v>0</v>
      </c>
      <c r="AF302" t="str">
        <v>Pantry kitchen cabinet (18" x 90")</v>
      </c>
      <c r="AG302" t="str">
        <v>Pantry (18" x 90")</v>
      </c>
    </row>
    <row r="303" hidden="1">
      <c r="A303" t="str">
        <v>S8-WP189327</v>
      </c>
      <c r="E303" t="b">
        <f>IF(OR(B303=TRUE,C303=TRUE,D303=TRUE),FALSE,TRUE)</f>
        <v>1</v>
      </c>
      <c r="G303" t="str">
        <v>PUC1893</v>
      </c>
      <c r="H303" t="str">
        <f>IF(ISNUMBER(SEARCH("muf",A303)),"Chêne blanc","Blanc")</f>
        <v>Blanc</v>
      </c>
      <c r="I303" t="str">
        <f>CONCAT(G303,IF(H303="","",IF(H303="Blanc","-CW","-WWO")))</f>
        <v>PUC1893-CW</v>
      </c>
      <c r="J303" t="str">
        <v>utility-cabinet</v>
      </c>
      <c r="K303" t="str">
        <v>pantry</v>
      </c>
      <c r="L303" t="str">
        <f>IFERROR(VLOOKUP(J303,Categories!$A$2:$C$41,3,FALSE()),"⚠ slug introuvable")</f>
        <v>Armoire utilitaire</v>
      </c>
      <c r="M303" t="str">
        <f>IFERROR(VLOOKUP(K303,Categories!$A$2:$C$41,3,FALSE()),"⚠ slug introuvable")</f>
        <v>Garde-manger</v>
      </c>
      <c r="N303" t="str">
        <v>Armoire de cuisine garde-manger</v>
      </c>
      <c r="O303" t="str">
        <f>CONCAT(N303," (",AA303,""" x ",AB303,""")")</f>
        <v>Armoire de cuisine garde-manger (18" x 93")</v>
      </c>
      <c r="P303" t="str">
        <f>CONCAT("Garde-manger"," (",AA303,""" x ",AB303,""")")</f>
        <v>Garde-manger (18" x 93")</v>
      </c>
      <c r="Q303" s="1">
        <v>1768</v>
      </c>
      <c r="R303" s="1">
        <f>Q303/11.25</f>
        <v>157.15555555555557</v>
      </c>
      <c r="S303" s="1">
        <f>R303*1.4</f>
        <v>220.01777777777778</v>
      </c>
      <c r="T303" s="1">
        <f>S303*1.1</f>
        <v>242.01955555555557</v>
      </c>
      <c r="U303" s="1">
        <f>T303*1.2</f>
        <v>290.4234666666667</v>
      </c>
      <c r="V303" s="1">
        <f>U303*1.2</f>
        <v>348.50816000000003</v>
      </c>
      <c r="W303" s="1">
        <f>V303*1.1</f>
        <v>383.35897600000004</v>
      </c>
      <c r="X303" s="1">
        <f>W303</f>
        <v>383.35897600000004</v>
      </c>
      <c r="Y303" s="2">
        <v>0.4</v>
      </c>
      <c r="Z303" s="1">
        <f>X303*(1+Y303)</f>
        <v>536.7025664</v>
      </c>
      <c r="AA303">
        <v>18</v>
      </c>
      <c r="AB303">
        <v>93</v>
      </c>
      <c r="AC303">
        <v>27</v>
      </c>
      <c r="AD303">
        <v>2</v>
      </c>
      <c r="AE303">
        <v>0</v>
      </c>
      <c r="AF303" t="str">
        <v>Pantry kitchen cabinet (18" x 93")</v>
      </c>
      <c r="AG303" t="str">
        <v>Pantry (18" x 93")</v>
      </c>
    </row>
    <row r="304" hidden="1">
      <c r="A304" t="str">
        <v>S8-WP18X91.527</v>
      </c>
      <c r="E304" t="b">
        <f>IF(OR(B304=TRUE,C304=TRUE,D304=TRUE),FALSE,TRUE)</f>
        <v>1</v>
      </c>
      <c r="G304" t="str">
        <v>PUC18-91.5</v>
      </c>
      <c r="H304" t="str">
        <f>IF(ISNUMBER(SEARCH("muf",A304)),"Chêne blanc","Blanc")</f>
        <v>Blanc</v>
      </c>
      <c r="I304" t="str">
        <f>CONCAT(G304,IF(H304="","",IF(H304="Blanc","-CW","-WWO")))</f>
        <v>PUC18-91.5-CW</v>
      </c>
      <c r="J304" t="str">
        <v>utility-cabinet</v>
      </c>
      <c r="K304" t="str">
        <v>pantry</v>
      </c>
      <c r="L304" t="str">
        <f>IFERROR(VLOOKUP(J304,Categories!$A$2:$C$41,3,FALSE()),"⚠ slug introuvable")</f>
        <v>Armoire utilitaire</v>
      </c>
      <c r="M304" t="str">
        <f>IFERROR(VLOOKUP(K304,Categories!$A$2:$C$41,3,FALSE()),"⚠ slug introuvable")</f>
        <v>Garde-manger</v>
      </c>
      <c r="N304" t="str">
        <v>Armoire de cuisine garde-manger</v>
      </c>
      <c r="O304" t="str">
        <f>CONCAT(N304," (",AA304,""" x ",AB304,""")")</f>
        <v>Armoire de cuisine garde-manger (18" x 91.5")</v>
      </c>
      <c r="P304" t="str">
        <f>CONCAT("Garde-manger"," (",AA304,""" x ",AB304,""")")</f>
        <v>Garde-manger (18" x 91.5")</v>
      </c>
      <c r="Q304" s="1">
        <v>1646</v>
      </c>
      <c r="R304" s="1">
        <f>Q304/11.25</f>
        <v>146.3111111111111</v>
      </c>
      <c r="S304" s="1">
        <f>R304*1.4</f>
        <v>204.83555555555554</v>
      </c>
      <c r="T304" s="1">
        <f>S304*1.1</f>
        <v>225.3191111111111</v>
      </c>
      <c r="U304" s="1">
        <f>T304*1.2</f>
        <v>270.3829333333333</v>
      </c>
      <c r="V304" s="1">
        <f>U304*1.2</f>
        <v>324.45951999999994</v>
      </c>
      <c r="W304" s="1">
        <f>V304*1.1</f>
        <v>356.905472</v>
      </c>
      <c r="X304" s="1">
        <f>W304</f>
        <v>356.905472</v>
      </c>
      <c r="Y304" s="2">
        <v>0.4</v>
      </c>
      <c r="Z304" s="1">
        <f>X304*(1+Y304)</f>
        <v>499.6676607999999</v>
      </c>
      <c r="AA304">
        <v>18</v>
      </c>
      <c r="AB304">
        <v>91.5</v>
      </c>
      <c r="AC304">
        <v>27</v>
      </c>
      <c r="AD304">
        <v>2</v>
      </c>
      <c r="AE304">
        <v>0</v>
      </c>
      <c r="AF304" t="str">
        <v>Pantry kitchen cabinet (18" x 91.5")</v>
      </c>
      <c r="AG304" t="str">
        <v>Pantry (18" x 91.5")</v>
      </c>
    </row>
    <row r="305" hidden="1">
      <c r="A305" t="str">
        <v>S8-WP248427</v>
      </c>
      <c r="E305" t="b">
        <f>IF(OR(B305=TRUE,C305=TRUE,D305=TRUE),FALSE,TRUE)</f>
        <v>1</v>
      </c>
      <c r="G305" t="str">
        <v>PUC2484</v>
      </c>
      <c r="H305" t="str">
        <f>IF(ISNUMBER(SEARCH("muf",A305)),"Chêne blanc","Blanc")</f>
        <v>Blanc</v>
      </c>
      <c r="I305" t="str">
        <f>CONCAT(G305,IF(H305="","",IF(H305="Blanc","-CW","-WWO")))</f>
        <v>PUC2484-CW</v>
      </c>
      <c r="J305" t="str">
        <v>utility-cabinet</v>
      </c>
      <c r="K305" t="str">
        <v>pantry</v>
      </c>
      <c r="L305" t="str">
        <f>IFERROR(VLOOKUP(J305,Categories!$A$2:$C$41,3,FALSE()),"⚠ slug introuvable")</f>
        <v>Armoire utilitaire</v>
      </c>
      <c r="M305" t="str">
        <f>IFERROR(VLOOKUP(K305,Categories!$A$2:$C$41,3,FALSE()),"⚠ slug introuvable")</f>
        <v>Garde-manger</v>
      </c>
      <c r="N305" t="str">
        <v>Armoire de cuisine garde-manger</v>
      </c>
      <c r="O305" t="str">
        <f>CONCAT(N305," (",AA305,""" x ",AB305,""")")</f>
        <v>Armoire de cuisine garde-manger (24" x 84")</v>
      </c>
      <c r="P305" t="str">
        <f>CONCAT("Garde-manger"," (",AA305,""" x ",AB305,""")")</f>
        <v>Garde-manger (24" x 84")</v>
      </c>
      <c r="Q305" s="1">
        <v>1589</v>
      </c>
      <c r="R305" s="1">
        <f>Q305/11.25</f>
        <v>141.24444444444444</v>
      </c>
      <c r="S305" s="1">
        <f>R305*1.4</f>
        <v>197.7422222222222</v>
      </c>
      <c r="T305" s="1">
        <f>S305*1.1</f>
        <v>217.51644444444446</v>
      </c>
      <c r="U305" s="1">
        <f>T305*1.2</f>
        <v>261.01973333333336</v>
      </c>
      <c r="V305" s="1">
        <f>U305*1.2</f>
        <v>313.22368</v>
      </c>
      <c r="W305" s="1">
        <f>V305*1.1</f>
        <v>344.54604800000004</v>
      </c>
      <c r="X305" s="1">
        <f>W305</f>
        <v>344.54604800000004</v>
      </c>
      <c r="Y305" s="2">
        <v>0.4</v>
      </c>
      <c r="Z305" s="1">
        <f>X305*(1+Y305)</f>
        <v>482.36446720000004</v>
      </c>
      <c r="AA305">
        <v>24</v>
      </c>
      <c r="AB305">
        <v>84</v>
      </c>
      <c r="AC305">
        <v>27</v>
      </c>
      <c r="AD305">
        <v>4</v>
      </c>
      <c r="AE305">
        <v>0</v>
      </c>
      <c r="AF305" t="str">
        <v>Pantry kitchen cabinet (24" x 84")</v>
      </c>
      <c r="AG305" t="str">
        <v>Pantry (24" x 84")</v>
      </c>
    </row>
    <row r="306" hidden="1">
      <c r="A306" t="str">
        <v>S8-WP249027</v>
      </c>
      <c r="E306" t="b">
        <f>IF(OR(B306=TRUE,C306=TRUE,D306=TRUE),FALSE,TRUE)</f>
        <v>1</v>
      </c>
      <c r="G306" t="str">
        <v>PUC2490</v>
      </c>
      <c r="H306" t="str">
        <f>IF(ISNUMBER(SEARCH("muf",A306)),"Chêne blanc","Blanc")</f>
        <v>Blanc</v>
      </c>
      <c r="I306" t="str">
        <f>CONCAT(G306,IF(H306="","",IF(H306="Blanc","-CW","-WWO")))</f>
        <v>PUC2490-CW</v>
      </c>
      <c r="J306" t="str">
        <v>utility-cabinet</v>
      </c>
      <c r="K306" t="str">
        <v>pantry</v>
      </c>
      <c r="L306" t="str">
        <f>IFERROR(VLOOKUP(J306,Categories!$A$2:$C$41,3,FALSE()),"⚠ slug introuvable")</f>
        <v>Armoire utilitaire</v>
      </c>
      <c r="M306" t="str">
        <f>IFERROR(VLOOKUP(K306,Categories!$A$2:$C$41,3,FALSE()),"⚠ slug introuvable")</f>
        <v>Garde-manger</v>
      </c>
      <c r="N306" t="str">
        <v>Armoire de cuisine garde-manger</v>
      </c>
      <c r="O306" t="str">
        <f>CONCAT(N306," (",AA306,""" x ",AB306,""")")</f>
        <v>Armoire de cuisine garde-manger (24" x 90")</v>
      </c>
      <c r="P306" t="str">
        <f>CONCAT("Garde-manger"," (",AA306,""" x ",AB306,""")")</f>
        <v>Garde-manger (24" x 90")</v>
      </c>
      <c r="Q306" s="1">
        <v>1695</v>
      </c>
      <c r="R306" s="1">
        <f>Q306/11.25</f>
        <v>150.66666666666666</v>
      </c>
      <c r="S306" s="1">
        <f>R306*1.4</f>
        <v>210.9333333333333</v>
      </c>
      <c r="T306" s="1">
        <f>S306*1.1</f>
        <v>232.02666666666667</v>
      </c>
      <c r="U306" s="1">
        <f>T306*1.2</f>
        <v>278.432</v>
      </c>
      <c r="V306" s="1">
        <f>U306*1.2</f>
        <v>334.1184</v>
      </c>
      <c r="W306" s="1">
        <f>V306*1.1</f>
        <v>367.53024000000005</v>
      </c>
      <c r="X306" s="1">
        <f>W306</f>
        <v>367.53024000000005</v>
      </c>
      <c r="Y306" s="2">
        <v>0.4</v>
      </c>
      <c r="Z306" s="1">
        <f>X306*(1+Y306)</f>
        <v>514.5423360000001</v>
      </c>
      <c r="AA306">
        <v>24</v>
      </c>
      <c r="AB306">
        <v>90</v>
      </c>
      <c r="AC306">
        <v>27</v>
      </c>
      <c r="AD306">
        <v>4</v>
      </c>
      <c r="AE306">
        <v>0</v>
      </c>
      <c r="AF306" t="str">
        <v>Pantry kitchen cabinet (24" x 90")</v>
      </c>
      <c r="AG306" t="str">
        <v>Pantry (24" x 90")</v>
      </c>
    </row>
    <row r="307" hidden="1">
      <c r="A307" t="str">
        <v>S8-WP2491.5X27</v>
      </c>
      <c r="E307" t="b">
        <f>IF(OR(B307=TRUE,C307=TRUE,D307=TRUE),FALSE,TRUE)</f>
        <v>1</v>
      </c>
      <c r="G307" t="str">
        <v>PUC24-91.5</v>
      </c>
      <c r="H307" t="str">
        <f>IF(ISNUMBER(SEARCH("muf",A307)),"Chêne blanc","Blanc")</f>
        <v>Blanc</v>
      </c>
      <c r="I307" t="str">
        <f>CONCAT(G307,IF(H307="","",IF(H307="Blanc","-CW","-WWO")))</f>
        <v>PUC24-91.5-CW</v>
      </c>
      <c r="J307" t="str">
        <v>utility-cabinet</v>
      </c>
      <c r="K307" t="str">
        <v>pantry</v>
      </c>
      <c r="L307" t="str">
        <f>IFERROR(VLOOKUP(J307,Categories!$A$2:$C$41,3,FALSE()),"⚠ slug introuvable")</f>
        <v>Armoire utilitaire</v>
      </c>
      <c r="M307" t="str">
        <f>IFERROR(VLOOKUP(K307,Categories!$A$2:$C$41,3,FALSE()),"⚠ slug introuvable")</f>
        <v>Garde-manger</v>
      </c>
      <c r="N307" t="str">
        <v>Armoire de cuisine garde-manger</v>
      </c>
      <c r="O307" t="str">
        <f>CONCAT(N307," (",AA307,""" x ",AB307,""")")</f>
        <v>Armoire de cuisine garde-manger (24" x 91.5")</v>
      </c>
      <c r="P307" t="str">
        <f>CONCAT("Garde-manger"," (",AA307,""" x ",AB307,""")")</f>
        <v>Garde-manger (24" x 91.5")</v>
      </c>
      <c r="Q307" s="1">
        <v>1870</v>
      </c>
      <c r="R307" s="1">
        <f>Q307/11.25</f>
        <v>166.22222222222223</v>
      </c>
      <c r="S307" s="1">
        <f>R307*1.4</f>
        <v>232.7111111111111</v>
      </c>
      <c r="T307" s="1">
        <f>S307*1.1</f>
        <v>255.98222222222225</v>
      </c>
      <c r="U307" s="1">
        <f>T307*1.2</f>
        <v>307.1786666666667</v>
      </c>
      <c r="V307" s="1">
        <f>U307*1.2</f>
        <v>368.6144</v>
      </c>
      <c r="W307" s="1">
        <f>V307*1.1</f>
        <v>405.47584</v>
      </c>
      <c r="X307" s="1">
        <f>W307</f>
        <v>405.47584</v>
      </c>
      <c r="Y307" s="2">
        <v>0.4</v>
      </c>
      <c r="Z307" s="1">
        <f>X307*(1+Y307)</f>
        <v>567.666176</v>
      </c>
      <c r="AA307">
        <v>24</v>
      </c>
      <c r="AB307">
        <v>91.5</v>
      </c>
      <c r="AC307">
        <v>27</v>
      </c>
      <c r="AD307">
        <v>4</v>
      </c>
      <c r="AE307">
        <v>0</v>
      </c>
      <c r="AF307" t="str">
        <v>Pantry kitchen cabinet (24" x 91.5")</v>
      </c>
      <c r="AG307" t="str">
        <v>Pantry (24" x 91.5")</v>
      </c>
    </row>
    <row r="308" hidden="1">
      <c r="A308" t="str">
        <v>S8-WP249327</v>
      </c>
      <c r="E308" t="b">
        <f>IF(OR(B308=TRUE,C308=TRUE,D308=TRUE),FALSE,TRUE)</f>
        <v>1</v>
      </c>
      <c r="G308" t="str">
        <v>PUC2493</v>
      </c>
      <c r="H308" t="str">
        <f>IF(ISNUMBER(SEARCH("muf",A308)),"Chêne blanc","Blanc")</f>
        <v>Blanc</v>
      </c>
      <c r="I308" t="str">
        <f>CONCAT(G308,IF(H308="","",IF(H308="Blanc","-CW","-WWO")))</f>
        <v>PUC2493-CW</v>
      </c>
      <c r="J308" t="str">
        <v>utility-cabinet</v>
      </c>
      <c r="K308" t="str">
        <v>pantry</v>
      </c>
      <c r="L308" t="str">
        <f>IFERROR(VLOOKUP(J308,Categories!$A$2:$C$41,3,FALSE()),"⚠ slug introuvable")</f>
        <v>Armoire utilitaire</v>
      </c>
      <c r="M308" t="str">
        <f>IFERROR(VLOOKUP(K308,Categories!$A$2:$C$41,3,FALSE()),"⚠ slug introuvable")</f>
        <v>Garde-manger</v>
      </c>
      <c r="N308" t="str">
        <v>Armoire de cuisine garde-manger</v>
      </c>
      <c r="O308" t="str">
        <f>CONCAT(N308," (",AA308,""" x ",AB308,""")")</f>
        <v>Armoire de cuisine garde-manger (24" x 93")</v>
      </c>
      <c r="P308" t="str">
        <f>CONCAT("Garde-manger"," (",AA308,""" x ",AB308,""")")</f>
        <v>Garde-manger (24" x 93")</v>
      </c>
      <c r="Q308" s="1">
        <v>1894</v>
      </c>
      <c r="R308" s="1">
        <f>Q308/11.25</f>
        <v>168.35555555555555</v>
      </c>
      <c r="S308" s="1">
        <f>R308*1.4</f>
        <v>235.69777777777776</v>
      </c>
      <c r="T308" s="1">
        <f>S308*1.1</f>
        <v>259.26755555555553</v>
      </c>
      <c r="U308" s="1">
        <f>T308*1.2</f>
        <v>311.12106666666665</v>
      </c>
      <c r="V308" s="1">
        <f>U308*1.2</f>
        <v>373.34527999999995</v>
      </c>
      <c r="W308" s="1">
        <f>V308*1.1</f>
        <v>410.679808</v>
      </c>
      <c r="X308" s="1">
        <f>W308</f>
        <v>410.679808</v>
      </c>
      <c r="Y308" s="2">
        <v>0.4</v>
      </c>
      <c r="Z308" s="1">
        <f>X308*(1+Y308)</f>
        <v>574.9517311999999</v>
      </c>
      <c r="AA308">
        <v>24</v>
      </c>
      <c r="AB308">
        <v>93</v>
      </c>
      <c r="AC308">
        <v>27</v>
      </c>
      <c r="AD308">
        <v>4</v>
      </c>
      <c r="AE308">
        <v>0</v>
      </c>
      <c r="AF308" t="str">
        <v>Pantry kitchen cabinet (24" x 93")</v>
      </c>
      <c r="AG308" t="str">
        <v>Pantry (24" x 93")</v>
      </c>
    </row>
    <row r="309" hidden="1">
      <c r="A309" t="str">
        <v>S8-WP249627</v>
      </c>
      <c r="E309" t="b">
        <f>IF(OR(B309=TRUE,C309=TRUE,D309=TRUE),FALSE,TRUE)</f>
        <v>1</v>
      </c>
      <c r="G309" t="str">
        <v>PUC2496</v>
      </c>
      <c r="H309" t="str">
        <f>IF(ISNUMBER(SEARCH("muf",A309)),"Chêne blanc","Blanc")</f>
        <v>Blanc</v>
      </c>
      <c r="I309" t="str">
        <f>CONCAT(G309,IF(H309="","",IF(H309="Blanc","-CW","-WWO")))</f>
        <v>PUC2496-CW</v>
      </c>
      <c r="J309" t="str">
        <v>utility-cabinet</v>
      </c>
      <c r="K309" t="str">
        <v>pantry</v>
      </c>
      <c r="L309" t="str">
        <f>IFERROR(VLOOKUP(J309,Categories!$A$2:$C$41,3,FALSE()),"⚠ slug introuvable")</f>
        <v>Armoire utilitaire</v>
      </c>
      <c r="M309" t="str">
        <f>IFERROR(VLOOKUP(K309,Categories!$A$2:$C$41,3,FALSE()),"⚠ slug introuvable")</f>
        <v>Garde-manger</v>
      </c>
      <c r="N309" t="str">
        <v>Armoire de cuisine garde-manger</v>
      </c>
      <c r="O309" t="str">
        <f>CONCAT(N309," (",AA309,""" x ",AB309,""")")</f>
        <v>Armoire de cuisine garde-manger (24" x 96")</v>
      </c>
      <c r="P309" t="str">
        <f>CONCAT("Garde-manger"," (",AA309,""" x ",AB309,""")")</f>
        <v>Garde-manger (24" x 96")</v>
      </c>
      <c r="Q309" s="1">
        <v>1885</v>
      </c>
      <c r="R309" s="1">
        <f>Q309/11.25</f>
        <v>167.55555555555554</v>
      </c>
      <c r="S309" s="1">
        <f>R309*1.4</f>
        <v>234.57777777777775</v>
      </c>
      <c r="T309" s="1">
        <f>S309*1.1</f>
        <v>258.03555555555556</v>
      </c>
      <c r="U309" s="1">
        <f>T309*1.2</f>
        <v>309.6426666666667</v>
      </c>
      <c r="V309" s="1">
        <f>U309*1.2</f>
        <v>371.57120000000003</v>
      </c>
      <c r="W309" s="1">
        <f>V309*1.1</f>
        <v>408.72832000000005</v>
      </c>
      <c r="X309" s="1">
        <f>W309</f>
        <v>408.72832000000005</v>
      </c>
      <c r="Y309" s="2">
        <v>0.4</v>
      </c>
      <c r="Z309" s="1">
        <f>X309*(1+Y309)</f>
        <v>572.219648</v>
      </c>
      <c r="AA309">
        <v>24</v>
      </c>
      <c r="AB309">
        <v>96</v>
      </c>
      <c r="AC309">
        <v>27</v>
      </c>
      <c r="AD309">
        <v>4</v>
      </c>
      <c r="AE309">
        <v>0</v>
      </c>
      <c r="AF309" t="str">
        <v>Pantry kitchen cabinet (24" x 96")</v>
      </c>
      <c r="AG309" t="str">
        <v>Pantry (24" x 96")</v>
      </c>
    </row>
    <row r="310" hidden="1">
      <c r="A310" t="str">
        <v>S8-WP24X103.5</v>
      </c>
      <c r="E310" t="b">
        <f>IF(OR(B310=TRUE,C310=TRUE,D310=TRUE),FALSE,TRUE)</f>
        <v>1</v>
      </c>
      <c r="G310" t="str">
        <v>PUC24-103.5</v>
      </c>
      <c r="H310" t="str">
        <f>IF(ISNUMBER(SEARCH("muf",A310)),"Chêne blanc","Blanc")</f>
        <v>Blanc</v>
      </c>
      <c r="I310" t="str">
        <f>CONCAT(G310,IF(H310="","",IF(H310="Blanc","-CW","-WWO")))</f>
        <v>PUC24-103.5-CW</v>
      </c>
      <c r="J310" t="str">
        <v>utility-cabinet</v>
      </c>
      <c r="K310" t="str">
        <v>pantry</v>
      </c>
      <c r="L310" t="str">
        <f>IFERROR(VLOOKUP(J310,Categories!$A$2:$C$41,3,FALSE()),"⚠ slug introuvable")</f>
        <v>Armoire utilitaire</v>
      </c>
      <c r="M310" t="str">
        <f>IFERROR(VLOOKUP(K310,Categories!$A$2:$C$41,3,FALSE()),"⚠ slug introuvable")</f>
        <v>Garde-manger</v>
      </c>
      <c r="N310" t="str">
        <v>Armoire de cuisine garde-manger</v>
      </c>
      <c r="O310" t="str">
        <f>CONCAT(N310," (",AA310,""" x ",AB310,""")")</f>
        <v>Armoire de cuisine garde-manger (24" x 103.5")</v>
      </c>
      <c r="P310" t="str">
        <f>CONCAT("Garde-manger"," (",AA310,""" x ",AB310,""")")</f>
        <v>Garde-manger (24" x 103.5")</v>
      </c>
      <c r="Q310" s="1">
        <v>2724</v>
      </c>
      <c r="R310" s="1">
        <f>Q310/11.25</f>
        <v>242.13333333333333</v>
      </c>
      <c r="S310" s="1">
        <f>R310*1.4</f>
        <v>338.9866666666666</v>
      </c>
      <c r="T310" s="1">
        <f>S310*1.1</f>
        <v>372.88533333333334</v>
      </c>
      <c r="U310" s="1">
        <f>T310*1.2</f>
        <v>447.4624</v>
      </c>
      <c r="V310" s="1">
        <f>U310*1.2</f>
        <v>536.95488</v>
      </c>
      <c r="W310" s="1">
        <f>V310*1.1</f>
        <v>590.6503680000001</v>
      </c>
      <c r="X310" s="1">
        <f>W310</f>
        <v>590.6503680000001</v>
      </c>
      <c r="Y310" s="2">
        <v>0.4</v>
      </c>
      <c r="Z310" s="1">
        <f>X310*(1+Y310)</f>
        <v>826.9105152000001</v>
      </c>
      <c r="AA310">
        <v>24</v>
      </c>
      <c r="AB310">
        <v>103.5</v>
      </c>
      <c r="AC310">
        <v>27</v>
      </c>
      <c r="AD310">
        <v>4</v>
      </c>
      <c r="AE310">
        <v>0</v>
      </c>
      <c r="AF310" t="str">
        <v>Pantry kitchen cabinet (24" x 103.5")</v>
      </c>
      <c r="AG310" t="str">
        <v>Pantry (24" x 103.5")</v>
      </c>
    </row>
    <row r="311" hidden="1">
      <c r="A311" t="str">
        <v>S8-WP2791.5X27</v>
      </c>
      <c r="E311" t="b">
        <f>IF(OR(B311=TRUE,C311=TRUE,D311=TRUE),FALSE,TRUE)</f>
        <v>1</v>
      </c>
      <c r="G311" t="str">
        <v>PUC27-91.5</v>
      </c>
      <c r="H311" t="str">
        <f>IF(ISNUMBER(SEARCH("muf",A311)),"Chêne blanc","Blanc")</f>
        <v>Blanc</v>
      </c>
      <c r="I311" t="str">
        <f>CONCAT(G311,IF(H311="","",IF(H311="Blanc","-CW","-WWO")))</f>
        <v>PUC27-91.5-CW</v>
      </c>
      <c r="J311" t="str">
        <v>utility-cabinet</v>
      </c>
      <c r="K311" t="str">
        <v>pantry</v>
      </c>
      <c r="L311" t="str">
        <f>IFERROR(VLOOKUP(J311,Categories!$A$2:$C$41,3,FALSE()),"⚠ slug introuvable")</f>
        <v>Armoire utilitaire</v>
      </c>
      <c r="M311" t="str">
        <f>IFERROR(VLOOKUP(K311,Categories!$A$2:$C$41,3,FALSE()),"⚠ slug introuvable")</f>
        <v>Garde-manger</v>
      </c>
      <c r="N311" t="str">
        <v>Armoire de cuisine garde-manger</v>
      </c>
      <c r="O311" t="str">
        <f>CONCAT(N311," (",AA311,""" x ",AB311,""")")</f>
        <v>Armoire de cuisine garde-manger (27" x 91.5")</v>
      </c>
      <c r="P311" t="str">
        <f>CONCAT("Garde-manger"," (",AA311,""" x ",AB311,""")")</f>
        <v>Garde-manger (27" x 91.5")</v>
      </c>
      <c r="Q311" s="1">
        <v>2081</v>
      </c>
      <c r="R311" s="1">
        <f>Q311/11.25</f>
        <v>184.9777777777778</v>
      </c>
      <c r="S311" s="1">
        <f>R311*1.4</f>
        <v>258.9688888888889</v>
      </c>
      <c r="T311" s="1">
        <f>S311*1.1</f>
        <v>284.8657777777778</v>
      </c>
      <c r="U311" s="1">
        <f>T311*1.2</f>
        <v>341.83893333333333</v>
      </c>
      <c r="V311" s="1">
        <f>U311*1.2</f>
        <v>410.20671999999996</v>
      </c>
      <c r="W311" s="1">
        <f>V311*1.1</f>
        <v>451.227392</v>
      </c>
      <c r="X311" s="1">
        <f>W311</f>
        <v>451.227392</v>
      </c>
      <c r="Y311" s="2">
        <v>0.4</v>
      </c>
      <c r="Z311" s="1">
        <f>X311*(1+Y311)</f>
        <v>631.7183488</v>
      </c>
      <c r="AA311">
        <v>27</v>
      </c>
      <c r="AB311">
        <v>91.5</v>
      </c>
      <c r="AC311">
        <v>27</v>
      </c>
      <c r="AD311">
        <v>4</v>
      </c>
      <c r="AE311">
        <v>0</v>
      </c>
      <c r="AF311" t="str">
        <v>Pantry kitchen cabinet (27" x 91.5")</v>
      </c>
      <c r="AG311" t="str">
        <v>Pantry (27" x 91.5")</v>
      </c>
    </row>
    <row r="312" hidden="1">
      <c r="A312" t="str">
        <v>S8-WP279327</v>
      </c>
      <c r="E312" t="b">
        <f>IF(OR(B312=TRUE,C312=TRUE,D312=TRUE),FALSE,TRUE)</f>
        <v>1</v>
      </c>
      <c r="G312" t="str">
        <v>PUC2793</v>
      </c>
      <c r="H312" t="str">
        <f>IF(ISNUMBER(SEARCH("muf",A312)),"Chêne blanc","Blanc")</f>
        <v>Blanc</v>
      </c>
      <c r="I312" t="str">
        <f>CONCAT(G312,IF(H312="","",IF(H312="Blanc","-CW","-WWO")))</f>
        <v>PUC2793-CW</v>
      </c>
      <c r="J312" t="str">
        <v>utility-cabinet</v>
      </c>
      <c r="K312" t="str">
        <v>pantry</v>
      </c>
      <c r="L312" t="str">
        <f>IFERROR(VLOOKUP(J312,Categories!$A$2:$C$41,3,FALSE()),"⚠ slug introuvable")</f>
        <v>Armoire utilitaire</v>
      </c>
      <c r="M312" t="str">
        <f>IFERROR(VLOOKUP(K312,Categories!$A$2:$C$41,3,FALSE()),"⚠ slug introuvable")</f>
        <v>Garde-manger</v>
      </c>
      <c r="N312" t="str">
        <v>Armoire de cuisine garde-manger</v>
      </c>
      <c r="O312" t="str">
        <f>CONCAT(N312," (",AA312,""" x ",AB312,""")")</f>
        <v>Armoire de cuisine garde-manger (27" x 93")</v>
      </c>
      <c r="P312" t="str">
        <f>CONCAT("Garde-manger"," (",AA312,""" x ",AB312,""")")</f>
        <v>Garde-manger (27" x 93")</v>
      </c>
      <c r="Q312" s="1">
        <v>2103</v>
      </c>
      <c r="R312" s="1">
        <f>Q312/11.25</f>
        <v>186.93333333333334</v>
      </c>
      <c r="S312" s="1">
        <f>R312*1.4</f>
        <v>261.70666666666665</v>
      </c>
      <c r="T312" s="1">
        <f>S312*1.1</f>
        <v>287.87733333333335</v>
      </c>
      <c r="U312" s="1">
        <f>T312*1.2</f>
        <v>345.4528</v>
      </c>
      <c r="V312" s="1">
        <f>U312*1.2</f>
        <v>414.54336</v>
      </c>
      <c r="W312" s="1">
        <f>V312*1.1</f>
        <v>455.997696</v>
      </c>
      <c r="X312" s="1">
        <f>W312</f>
        <v>455.997696</v>
      </c>
      <c r="Y312" s="2">
        <v>0.4</v>
      </c>
      <c r="Z312" s="1">
        <f>X312*(1+Y312)</f>
        <v>638.3967744</v>
      </c>
      <c r="AA312">
        <v>27</v>
      </c>
      <c r="AB312">
        <v>93</v>
      </c>
      <c r="AC312">
        <v>27</v>
      </c>
      <c r="AD312">
        <v>4</v>
      </c>
      <c r="AE312">
        <v>0</v>
      </c>
      <c r="AF312" t="str">
        <v>Pantry kitchen cabinet (27" x 93")</v>
      </c>
      <c r="AG312" t="str">
        <v>Pantry (27" x 93")</v>
      </c>
    </row>
    <row r="313" hidden="1">
      <c r="A313" t="str">
        <v>S8-WP279627</v>
      </c>
      <c r="E313" t="b">
        <f>IF(OR(B313=TRUE,C313=TRUE,D313=TRUE),FALSE,TRUE)</f>
        <v>1</v>
      </c>
      <c r="G313" t="str">
        <v>PUC2796</v>
      </c>
      <c r="H313" t="str">
        <f>IF(ISNUMBER(SEARCH("muf",A313)),"Chêne blanc","Blanc")</f>
        <v>Blanc</v>
      </c>
      <c r="I313" t="str">
        <f>CONCAT(G313,IF(H313="","",IF(H313="Blanc","-CW","-WWO")))</f>
        <v>PUC2796-CW</v>
      </c>
      <c r="J313" t="str">
        <v>utility-cabinet</v>
      </c>
      <c r="K313" t="str">
        <v>pantry</v>
      </c>
      <c r="L313" t="str">
        <f>IFERROR(VLOOKUP(J313,Categories!$A$2:$C$41,3,FALSE()),"⚠ slug introuvable")</f>
        <v>Armoire utilitaire</v>
      </c>
      <c r="M313" t="str">
        <f>IFERROR(VLOOKUP(K313,Categories!$A$2:$C$41,3,FALSE()),"⚠ slug introuvable")</f>
        <v>Garde-manger</v>
      </c>
      <c r="N313" t="str">
        <v>Armoire de cuisine garde-manger</v>
      </c>
      <c r="O313" t="str">
        <f>CONCAT(N313," (",AA313,""" x ",AB313,""")")</f>
        <v>Armoire de cuisine garde-manger (27" x 96")</v>
      </c>
      <c r="P313" t="str">
        <f>CONCAT("Garde-manger"," (",AA313,""" x ",AB313,""")")</f>
        <v>Garde-manger (27" x 96")</v>
      </c>
      <c r="Q313" s="1">
        <v>2007</v>
      </c>
      <c r="R313" s="1">
        <f>Q313/11.25</f>
        <v>178.4</v>
      </c>
      <c r="S313" s="1">
        <f>R313*1.4</f>
        <v>249.76</v>
      </c>
      <c r="T313" s="1">
        <f>S313*1.1</f>
        <v>274.736</v>
      </c>
      <c r="U313" s="1">
        <f>T313*1.2</f>
        <v>329.6832</v>
      </c>
      <c r="V313" s="1">
        <f>U313*1.2</f>
        <v>395.61984</v>
      </c>
      <c r="W313" s="1">
        <f>V313*1.1</f>
        <v>435.18182400000006</v>
      </c>
      <c r="X313" s="1">
        <f>W313</f>
        <v>435.18182400000006</v>
      </c>
      <c r="Y313" s="2">
        <v>0.4</v>
      </c>
      <c r="Z313" s="1">
        <f>X313*(1+Y313)</f>
        <v>609.2545536</v>
      </c>
      <c r="AA313">
        <v>27</v>
      </c>
      <c r="AB313">
        <v>96</v>
      </c>
      <c r="AC313">
        <v>27</v>
      </c>
      <c r="AD313">
        <v>4</v>
      </c>
      <c r="AE313">
        <v>0</v>
      </c>
      <c r="AF313" t="str">
        <v>Pantry kitchen cabinet (27" x 96")</v>
      </c>
      <c r="AG313" t="str">
        <v>Pantry (27" x 96")</v>
      </c>
    </row>
    <row r="314" hidden="1">
      <c r="A314" t="str">
        <v>S8-WP308427</v>
      </c>
      <c r="E314" t="b">
        <f>IF(OR(B314=TRUE,C314=TRUE,D314=TRUE),FALSE,TRUE)</f>
        <v>1</v>
      </c>
      <c r="G314" t="str">
        <v>PUC3084</v>
      </c>
      <c r="H314" t="str">
        <f>IF(ISNUMBER(SEARCH("muf",A314)),"Chêne blanc","Blanc")</f>
        <v>Blanc</v>
      </c>
      <c r="I314" t="str">
        <f>CONCAT(G314,IF(H314="","",IF(H314="Blanc","-CW","-WWO")))</f>
        <v>PUC3084-CW</v>
      </c>
      <c r="J314" t="str">
        <v>utility-cabinet</v>
      </c>
      <c r="K314" t="str">
        <v>pantry</v>
      </c>
      <c r="L314" t="str">
        <f>IFERROR(VLOOKUP(J314,Categories!$A$2:$C$41,3,FALSE()),"⚠ slug introuvable")</f>
        <v>Armoire utilitaire</v>
      </c>
      <c r="M314" t="str">
        <f>IFERROR(VLOOKUP(K314,Categories!$A$2:$C$41,3,FALSE()),"⚠ slug introuvable")</f>
        <v>Garde-manger</v>
      </c>
      <c r="N314" t="str">
        <v>Armoire de cuisine garde-manger</v>
      </c>
      <c r="O314" t="str">
        <f>CONCAT(N314," (",AA314,""" x ",AB314,""")")</f>
        <v>Armoire de cuisine garde-manger (30" x 84")</v>
      </c>
      <c r="P314" t="str">
        <f>CONCAT("Garde-manger"," (",AA314,""" x ",AB314,""")")</f>
        <v>Garde-manger (30" x 84")</v>
      </c>
      <c r="Q314" s="1">
        <v>1954</v>
      </c>
      <c r="R314" s="1">
        <f>Q314/11.25</f>
        <v>173.6888888888889</v>
      </c>
      <c r="S314" s="1">
        <f>R314*1.4</f>
        <v>243.16444444444443</v>
      </c>
      <c r="T314" s="1">
        <f>S314*1.1</f>
        <v>267.4808888888889</v>
      </c>
      <c r="U314" s="1">
        <f>T314*1.2</f>
        <v>320.97706666666664</v>
      </c>
      <c r="V314" s="1">
        <f>U314*1.2</f>
        <v>385.17247999999995</v>
      </c>
      <c r="W314" s="1">
        <f>V314*1.1</f>
        <v>423.689728</v>
      </c>
      <c r="X314" s="1">
        <f>W314</f>
        <v>423.689728</v>
      </c>
      <c r="Y314" s="2">
        <v>0.4</v>
      </c>
      <c r="Z314" s="1">
        <f>X314*(1+Y314)</f>
        <v>593.1656191999999</v>
      </c>
      <c r="AA314">
        <v>30</v>
      </c>
      <c r="AB314">
        <v>84</v>
      </c>
      <c r="AC314">
        <v>27</v>
      </c>
      <c r="AD314">
        <v>4</v>
      </c>
      <c r="AE314">
        <v>0</v>
      </c>
      <c r="AF314" t="str">
        <v>Pantry kitchen cabinet (30" x 84")</v>
      </c>
      <c r="AG314" t="str">
        <v>Pantry (30" x 84")</v>
      </c>
    </row>
    <row r="315" hidden="1">
      <c r="A315" t="str">
        <v>S8-WP309027</v>
      </c>
      <c r="E315" t="b">
        <f>IF(OR(B315=TRUE,C315=TRUE,D315=TRUE),FALSE,TRUE)</f>
        <v>1</v>
      </c>
      <c r="G315" t="str">
        <v>PUC3090</v>
      </c>
      <c r="H315" t="str">
        <f>IF(ISNUMBER(SEARCH("muf",A315)),"Chêne blanc","Blanc")</f>
        <v>Blanc</v>
      </c>
      <c r="I315" t="str">
        <f>CONCAT(G315,IF(H315="","",IF(H315="Blanc","-CW","-WWO")))</f>
        <v>PUC3090-CW</v>
      </c>
      <c r="J315" t="str">
        <v>utility-cabinet</v>
      </c>
      <c r="K315" t="str">
        <v>pantry</v>
      </c>
      <c r="L315" t="str">
        <f>IFERROR(VLOOKUP(J315,Categories!$A$2:$C$41,3,FALSE()),"⚠ slug introuvable")</f>
        <v>Armoire utilitaire</v>
      </c>
      <c r="M315" t="str">
        <f>IFERROR(VLOOKUP(K315,Categories!$A$2:$C$41,3,FALSE()),"⚠ slug introuvable")</f>
        <v>Garde-manger</v>
      </c>
      <c r="N315" t="str">
        <v>Armoire de cuisine garde-manger</v>
      </c>
      <c r="O315" t="str">
        <f>CONCAT(N315," (",AA315,""" x ",AB315,""")")</f>
        <v>Armoire de cuisine garde-manger (30" x 90")</v>
      </c>
      <c r="P315" t="str">
        <f>CONCAT("Garde-manger"," (",AA315,""" x ",AB315,""")")</f>
        <v>Garde-manger (30" x 90")</v>
      </c>
      <c r="Q315" s="1">
        <v>2236</v>
      </c>
      <c r="R315" s="1">
        <f>Q315/11.25</f>
        <v>198.75555555555556</v>
      </c>
      <c r="S315" s="1">
        <f>R315*1.4</f>
        <v>278.2577777777778</v>
      </c>
      <c r="T315" s="1">
        <f>S315*1.1</f>
        <v>306.0835555555556</v>
      </c>
      <c r="U315" s="1">
        <f>T315*1.2</f>
        <v>367.30026666666674</v>
      </c>
      <c r="V315" s="1">
        <f>U315*1.2</f>
        <v>440.7603200000001</v>
      </c>
      <c r="W315" s="1">
        <f>V315*1.1</f>
        <v>484.83635200000015</v>
      </c>
      <c r="X315" s="1">
        <f>W315</f>
        <v>484.83635200000015</v>
      </c>
      <c r="Y315" s="2">
        <v>0.4</v>
      </c>
      <c r="Z315" s="1">
        <f>X315*(1+Y315)</f>
        <v>678.7708928000002</v>
      </c>
      <c r="AA315">
        <v>30</v>
      </c>
      <c r="AB315">
        <v>90</v>
      </c>
      <c r="AC315">
        <v>27</v>
      </c>
      <c r="AD315">
        <v>4</v>
      </c>
      <c r="AE315">
        <v>0</v>
      </c>
      <c r="AF315" t="str">
        <v>Pantry kitchen cabinet (30" x 90")</v>
      </c>
      <c r="AG315" t="str">
        <v>Pantry (30" x 90")</v>
      </c>
    </row>
    <row r="316" hidden="1">
      <c r="A316" t="str">
        <v>S8-WP309327</v>
      </c>
      <c r="E316" t="b">
        <f>IF(OR(B316=TRUE,C316=TRUE,D316=TRUE),FALSE,TRUE)</f>
        <v>1</v>
      </c>
      <c r="G316" t="str">
        <v>PUC3093</v>
      </c>
      <c r="H316" t="str">
        <f>IF(ISNUMBER(SEARCH("muf",A316)),"Chêne blanc","Blanc")</f>
        <v>Blanc</v>
      </c>
      <c r="I316" t="str">
        <f>CONCAT(G316,IF(H316="","",IF(H316="Blanc","-CW","-WWO")))</f>
        <v>PUC3093-CW</v>
      </c>
      <c r="J316" t="str">
        <v>utility-cabinet</v>
      </c>
      <c r="K316" t="str">
        <v>pantry</v>
      </c>
      <c r="L316" t="str">
        <f>IFERROR(VLOOKUP(J316,Categories!$A$2:$C$41,3,FALSE()),"⚠ slug introuvable")</f>
        <v>Armoire utilitaire</v>
      </c>
      <c r="M316" t="str">
        <f>IFERROR(VLOOKUP(K316,Categories!$A$2:$C$41,3,FALSE()),"⚠ slug introuvable")</f>
        <v>Garde-manger</v>
      </c>
      <c r="N316" t="str">
        <v>Armoire de cuisine garde-manger</v>
      </c>
      <c r="O316" t="str">
        <f>CONCAT(N316," (",AA316,""" x ",AB316,""")")</f>
        <v>Armoire de cuisine garde-manger (30" x 93")</v>
      </c>
      <c r="P316" t="str">
        <f>CONCAT("Garde-manger"," (",AA316,""" x ",AB316,""")")</f>
        <v>Garde-manger (30" x 93")</v>
      </c>
      <c r="Q316" s="1">
        <v>2405</v>
      </c>
      <c r="R316" s="1">
        <f>Q316/11.25</f>
        <v>213.77777777777777</v>
      </c>
      <c r="S316" s="1">
        <f>R316*1.4</f>
        <v>299.28888888888883</v>
      </c>
      <c r="T316" s="1">
        <f>S316*1.1</f>
        <v>329.21777777777777</v>
      </c>
      <c r="U316" s="1">
        <f>T316*1.2</f>
        <v>395.0613333333333</v>
      </c>
      <c r="V316" s="1">
        <f>U316*1.2</f>
        <v>474.07359999999994</v>
      </c>
      <c r="W316" s="1">
        <f>V316*1.1</f>
        <v>521.48096</v>
      </c>
      <c r="X316" s="1">
        <f>W316</f>
        <v>521.48096</v>
      </c>
      <c r="Y316" s="2">
        <v>0.4</v>
      </c>
      <c r="Z316" s="1">
        <f>X316*(1+Y316)</f>
        <v>730.0733439999999</v>
      </c>
      <c r="AA316">
        <v>30</v>
      </c>
      <c r="AB316">
        <v>93</v>
      </c>
      <c r="AC316">
        <v>27</v>
      </c>
      <c r="AD316">
        <v>4</v>
      </c>
      <c r="AE316">
        <v>0</v>
      </c>
      <c r="AF316" t="str">
        <v>Pantry kitchen cabinet (30" x 93")</v>
      </c>
      <c r="AG316" t="str">
        <v>Pantry (30" x 93")</v>
      </c>
    </row>
    <row r="317" hidden="1">
      <c r="A317" t="str">
        <v>S8-WP309627</v>
      </c>
      <c r="E317" t="b">
        <f>IF(OR(B317=TRUE,C317=TRUE,D317=TRUE),FALSE,TRUE)</f>
        <v>1</v>
      </c>
      <c r="G317" t="str">
        <v>PUC3096</v>
      </c>
      <c r="H317" t="str">
        <f>IF(ISNUMBER(SEARCH("muf",A317)),"Chêne blanc","Blanc")</f>
        <v>Blanc</v>
      </c>
      <c r="I317" t="str">
        <f>CONCAT(G317,IF(H317="","",IF(H317="Blanc","-CW","-WWO")))</f>
        <v>PUC3096-CW</v>
      </c>
      <c r="J317" t="str">
        <v>utility-cabinet</v>
      </c>
      <c r="K317" t="str">
        <v>pantry</v>
      </c>
      <c r="L317" t="str">
        <f>IFERROR(VLOOKUP(J317,Categories!$A$2:$C$41,3,FALSE()),"⚠ slug introuvable")</f>
        <v>Armoire utilitaire</v>
      </c>
      <c r="M317" t="str">
        <f>IFERROR(VLOOKUP(K317,Categories!$A$2:$C$41,3,FALSE()),"⚠ slug introuvable")</f>
        <v>Garde-manger</v>
      </c>
      <c r="N317" t="str">
        <v>Armoire de cuisine garde-manger</v>
      </c>
      <c r="O317" t="str">
        <f>CONCAT(N317," (",AA317,""" x ",AB317,""")")</f>
        <v>Armoire de cuisine garde-manger (30" x 96")</v>
      </c>
      <c r="P317" t="str">
        <f>CONCAT("Garde-manger"," (",AA317,""" x ",AB317,""")")</f>
        <v>Garde-manger (30" x 96")</v>
      </c>
      <c r="Q317" s="1">
        <v>2078</v>
      </c>
      <c r="R317" s="1">
        <f>Q317/11.25</f>
        <v>184.7111111111111</v>
      </c>
      <c r="S317" s="1">
        <f>R317*1.4</f>
        <v>258.59555555555556</v>
      </c>
      <c r="T317" s="1">
        <f>S317*1.1</f>
        <v>284.45511111111114</v>
      </c>
      <c r="U317" s="1">
        <f>T317*1.2</f>
        <v>341.34613333333334</v>
      </c>
      <c r="V317" s="1">
        <f>U317*1.2</f>
        <v>409.61536</v>
      </c>
      <c r="W317" s="1">
        <f>V317*1.1</f>
        <v>450.57689600000003</v>
      </c>
      <c r="X317" s="1">
        <f>W317</f>
        <v>450.57689600000003</v>
      </c>
      <c r="Y317" s="2">
        <v>0.4</v>
      </c>
      <c r="Z317" s="1">
        <f>X317*(1+Y317)</f>
        <v>630.8076544</v>
      </c>
      <c r="AA317">
        <v>30</v>
      </c>
      <c r="AB317">
        <v>96</v>
      </c>
      <c r="AC317">
        <v>27</v>
      </c>
      <c r="AD317">
        <v>4</v>
      </c>
      <c r="AE317">
        <v>0</v>
      </c>
      <c r="AF317" t="str">
        <v>Pantry kitchen cabinet (30" x 96")</v>
      </c>
      <c r="AG317" t="str">
        <v>Pantry (30" x 96")</v>
      </c>
    </row>
    <row r="318" hidden="1">
      <c r="A318" t="str">
        <v>S8-WP30X103.5</v>
      </c>
      <c r="E318" t="b">
        <f>IF(OR(B318=TRUE,C318=TRUE,D318=TRUE),FALSE,TRUE)</f>
        <v>1</v>
      </c>
      <c r="G318" t="str">
        <v>PUC30-103.5</v>
      </c>
      <c r="H318" t="str">
        <f>IF(ISNUMBER(SEARCH("muf",A318)),"Chêne blanc","Blanc")</f>
        <v>Blanc</v>
      </c>
      <c r="I318" t="str">
        <f>CONCAT(G318,IF(H318="","",IF(H318="Blanc","-CW","-WWO")))</f>
        <v>PUC30-103.5-CW</v>
      </c>
      <c r="J318" t="str">
        <v>utility-cabinet</v>
      </c>
      <c r="K318" t="str">
        <v>pantry</v>
      </c>
      <c r="L318" t="str">
        <f>IFERROR(VLOOKUP(J318,Categories!$A$2:$C$41,3,FALSE()),"⚠ slug introuvable")</f>
        <v>Armoire utilitaire</v>
      </c>
      <c r="M318" t="str">
        <f>IFERROR(VLOOKUP(K318,Categories!$A$2:$C$41,3,FALSE()),"⚠ slug introuvable")</f>
        <v>Garde-manger</v>
      </c>
      <c r="N318" t="str">
        <v>Armoire de cuisine garde-manger</v>
      </c>
      <c r="O318" t="str">
        <f>CONCAT(N318," (",AA318,""" x ",AB318,""")")</f>
        <v>Armoire de cuisine garde-manger (30" x 103.5")</v>
      </c>
      <c r="P318" t="str">
        <f>CONCAT("Garde-manger"," (",AA318,""" x ",AB318,""")")</f>
        <v>Garde-manger (30" x 103.5")</v>
      </c>
      <c r="Q318" s="1">
        <v>2927</v>
      </c>
      <c r="R318" s="1">
        <f>Q318/11.25</f>
        <v>260.1777777777778</v>
      </c>
      <c r="S318" s="1">
        <f>R318*1.4</f>
        <v>364.2488888888889</v>
      </c>
      <c r="T318" s="1">
        <f>S318*1.1</f>
        <v>400.67377777777784</v>
      </c>
      <c r="U318" s="1">
        <f>T318*1.2</f>
        <v>480.8085333333334</v>
      </c>
      <c r="V318" s="1">
        <f>U318*1.2</f>
        <v>576.9702400000001</v>
      </c>
      <c r="W318" s="1">
        <f>V318*1.1</f>
        <v>634.6672640000002</v>
      </c>
      <c r="X318" s="1">
        <f>W318</f>
        <v>634.6672640000002</v>
      </c>
      <c r="Y318" s="2">
        <v>0.4</v>
      </c>
      <c r="Z318" s="1">
        <f>X318*(1+Y318)</f>
        <v>888.5341696000002</v>
      </c>
      <c r="AA318">
        <v>30</v>
      </c>
      <c r="AB318">
        <v>103.5</v>
      </c>
      <c r="AC318">
        <v>27</v>
      </c>
      <c r="AD318">
        <v>4</v>
      </c>
      <c r="AE318">
        <v>0</v>
      </c>
      <c r="AF318" t="str">
        <v>Pantry kitchen cabinet (30" x 103.5")</v>
      </c>
      <c r="AG318" t="str">
        <v>Pantry (30" x 103.5")</v>
      </c>
    </row>
    <row r="319" hidden="1">
      <c r="A319" t="str">
        <v>S8-WP30X91.5X27-DOORS</v>
      </c>
      <c r="B319" t="b">
        <v>1</v>
      </c>
      <c r="E319" t="b">
        <f>IF(OR(B319=TRUE,C319=TRUE,D319=TRUE),FALSE,TRUE)</f>
        <v>0</v>
      </c>
      <c r="H319" t="str">
        <f>IF(ISNUMBER(SEARCH("muf",A319)),"Chêne blanc","Blanc")</f>
        <v>Blanc</v>
      </c>
      <c r="I319" t="str">
        <f>CONCAT(G319,IF(H319="","",IF(H319="Blanc","-CW","-WWO")))</f>
        <v>-CW</v>
      </c>
      <c r="K319" t="str">
        <v>utility-cabinet-pantry</v>
      </c>
      <c r="M319" t="str">
        <f>IFERROR(VLOOKUP(K319,Categories!$A$2:$C$41,3,FALSE()),"⚠ slug introuvable")</f>
        <v>⚠ slug introuvable</v>
      </c>
      <c r="N319" t="str">
        <v>WP30X91.5X27-DOORS</v>
      </c>
      <c r="R319" s="1">
        <f>Q319/11.25</f>
        <v>0</v>
      </c>
      <c r="S319" s="1">
        <f>R319*1.4</f>
        <v>0</v>
      </c>
      <c r="T319" s="1">
        <f>S319*1.1</f>
        <v>0</v>
      </c>
      <c r="U319" s="1">
        <f>T319*1.2</f>
        <v>0</v>
      </c>
      <c r="V319" s="1">
        <f>U319*1.2</f>
        <v>0</v>
      </c>
      <c r="W319" s="1">
        <f>V319*1.1</f>
        <v>0</v>
      </c>
      <c r="X319" s="1">
        <f>W319</f>
        <v>0</v>
      </c>
      <c r="Y319" s="2">
        <v>0.4</v>
      </c>
      <c r="Z319" s="1">
        <f>X319*(1+Y319)</f>
        <v>0</v>
      </c>
      <c r="AA319">
        <v>30</v>
      </c>
      <c r="AB319">
        <v>91.5</v>
      </c>
      <c r="AC319">
        <v>27</v>
      </c>
      <c r="AD319">
        <v>2</v>
      </c>
      <c r="AE319">
        <v>0</v>
      </c>
    </row>
    <row r="320" hidden="1">
      <c r="A320" t="str">
        <v>S8-WPDD13.75*37.5</v>
      </c>
      <c r="E320" t="b">
        <f>IF(OR(B320=TRUE,C320=TRUE,D320=TRUE),FALSE,TRUE)</f>
        <v>1</v>
      </c>
      <c r="F320" t="str">
        <v>les dimensions semble pettie</v>
      </c>
      <c r="G320" t="str">
        <v>DDUC13.75-37.5</v>
      </c>
      <c r="H320" t="str">
        <f>IF(ISNUMBER(SEARCH("muf",A320)),"Chêne blanc","Blanc")</f>
        <v>Blanc</v>
      </c>
      <c r="I320" t="str">
        <f>CONCAT(G320,IF(H320="","",IF(H320="Blanc","-CW","-WWO")))</f>
        <v>DDUC13.75-37.5-CW</v>
      </c>
      <c r="J320" t="str">
        <v>fillers-panels-moldings</v>
      </c>
      <c r="K320" t="str">
        <v>dummy-door</v>
      </c>
      <c r="L320" t="str">
        <f>IFERROR(VLOOKUP(J320,Categories!$A$2:$C$41,3,FALSE()),"⚠ slug introuvable")</f>
        <v>Fillers, panneaux &amp; moulures</v>
      </c>
      <c r="M320" t="str">
        <f>IFERROR(VLOOKUP(K320,Categories!$A$2:$C$41,3,FALSE()),"⚠ slug introuvable")</f>
        <v>Fausse porte</v>
      </c>
      <c r="N320" t="str">
        <v>Fausse porte pour garde-manger</v>
      </c>
      <c r="O320" t="str">
        <f>CONCAT(N320," (",AA320,""" x ",AB320,""")")</f>
        <v>Fausse porte pour garde-manger (13.75" x 37.5")</v>
      </c>
      <c r="P320" t="str">
        <f>CONCAT("Fausse porte - Garde-manger"," (",AA320,""" x ",AB320,""")")</f>
        <v>Fausse porte - Garde-manger (13.75" x 37.5")</v>
      </c>
      <c r="Q320" s="1">
        <v>194</v>
      </c>
      <c r="R320" s="1">
        <f>Q320/11.25</f>
        <v>17.244444444444444</v>
      </c>
      <c r="S320" s="1">
        <f>R320*1.4</f>
        <v>24.14222222222222</v>
      </c>
      <c r="T320" s="1">
        <f>S320*1.1</f>
        <v>26.556444444444445</v>
      </c>
      <c r="U320" s="1">
        <f>T320*1.2</f>
        <v>31.867733333333334</v>
      </c>
      <c r="V320" s="1">
        <f>U320*1.2</f>
        <v>38.241279999999996</v>
      </c>
      <c r="W320" s="1">
        <f>V320*1.1</f>
        <v>42.065408</v>
      </c>
      <c r="X320" s="1">
        <f>W320</f>
        <v>42.065408</v>
      </c>
      <c r="Y320" s="2">
        <v>0.4</v>
      </c>
      <c r="Z320" s="1">
        <f>X320*(1+Y320)</f>
        <v>58.891571199999994</v>
      </c>
      <c r="AA320">
        <v>13.75</v>
      </c>
      <c r="AB320">
        <v>37.5</v>
      </c>
      <c r="AC320">
        <v>0.75</v>
      </c>
      <c r="AD320" t="str">
        <v>N/A</v>
      </c>
      <c r="AE320" t="str">
        <v>N/A</v>
      </c>
      <c r="AF320" t="str">
        <v>Dummy door for pantry (13.75" x 37.5")</v>
      </c>
      <c r="AG320" t="str">
        <v>Dummy door - Pantry (13.75" x 37.5")</v>
      </c>
    </row>
    <row r="321" hidden="1">
      <c r="A321" t="str">
        <v>S8-WPDD13.75*39</v>
      </c>
      <c r="E321" t="b">
        <f>IF(OR(B321=TRUE,C321=TRUE,D321=TRUE),FALSE,TRUE)</f>
        <v>1</v>
      </c>
      <c r="G321" t="str">
        <v>DDUC13.75-39</v>
      </c>
      <c r="H321" t="str">
        <f>IF(ISNUMBER(SEARCH("muf",A321)),"Chêne blanc","Blanc")</f>
        <v>Blanc</v>
      </c>
      <c r="I321" t="str">
        <f>CONCAT(G321,IF(H321="","",IF(H321="Blanc","-CW","-WWO")))</f>
        <v>DDUC13.75-39-CW</v>
      </c>
      <c r="J321" t="str">
        <v>fillers-panels-moldings</v>
      </c>
      <c r="K321" t="str">
        <v>dummy-door</v>
      </c>
      <c r="L321" t="str">
        <f>IFERROR(VLOOKUP(J321,Categories!$A$2:$C$41,3,FALSE()),"⚠ slug introuvable")</f>
        <v>Fillers, panneaux &amp; moulures</v>
      </c>
      <c r="M321" t="str">
        <f>IFERROR(VLOOKUP(K321,Categories!$A$2:$C$41,3,FALSE()),"⚠ slug introuvable")</f>
        <v>Fausse porte</v>
      </c>
      <c r="N321" t="str">
        <v>Fausse porte pour garde-manger</v>
      </c>
      <c r="O321" t="str">
        <f>CONCAT(N321," (",AA321,""" x ",AB321,""")")</f>
        <v>Fausse porte pour garde-manger (13.75" x 39")</v>
      </c>
      <c r="P321" t="str">
        <f>CONCAT("Fausse porte - Garde-manger"," (",AA321,""" x ",AB321,""")")</f>
        <v>Fausse porte - Garde-manger (13.75" x 39")</v>
      </c>
      <c r="Q321" s="1">
        <v>202</v>
      </c>
      <c r="R321" s="1">
        <f>Q321/11.25</f>
        <v>17.955555555555556</v>
      </c>
      <c r="S321" s="1">
        <f>R321*1.4</f>
        <v>25.137777777777778</v>
      </c>
      <c r="T321" s="1">
        <f>S321*1.1</f>
        <v>27.651555555555557</v>
      </c>
      <c r="U321" s="1">
        <f>T321*1.2</f>
        <v>33.181866666666664</v>
      </c>
      <c r="V321" s="1">
        <f>U321*1.2</f>
        <v>39.818239999999996</v>
      </c>
      <c r="W321" s="1">
        <f>V321*1.1</f>
        <v>43.800064</v>
      </c>
      <c r="X321" s="1">
        <f>W321</f>
        <v>43.800064</v>
      </c>
      <c r="Y321" s="2">
        <v>0.4</v>
      </c>
      <c r="Z321" s="1">
        <f>X321*(1+Y321)</f>
        <v>61.320089599999996</v>
      </c>
      <c r="AA321">
        <v>13.75</v>
      </c>
      <c r="AB321">
        <v>39</v>
      </c>
      <c r="AC321">
        <v>0.75</v>
      </c>
      <c r="AD321" t="str">
        <v>N/A</v>
      </c>
      <c r="AE321" t="str">
        <v>N/A</v>
      </c>
      <c r="AF321" t="str">
        <v>Dummy door for pantry (13.75" x 39")</v>
      </c>
      <c r="AG321" t="str">
        <v>Dummy door - Pantry (13.75" x 39")</v>
      </c>
    </row>
    <row r="322" hidden="1">
      <c r="A322" t="str">
        <v>S8-WPDD13.75*49.5</v>
      </c>
      <c r="E322" t="b">
        <f>IF(OR(B322=TRUE,C322=TRUE,D322=TRUE),FALSE,TRUE)</f>
        <v>1</v>
      </c>
      <c r="G322" t="str">
        <v>DDUC13.75-49.5</v>
      </c>
      <c r="H322" t="str">
        <f>IF(ISNUMBER(SEARCH("muf",A322)),"Chêne blanc","Blanc")</f>
        <v>Blanc</v>
      </c>
      <c r="I322" t="str">
        <f>CONCAT(G322,IF(H322="","",IF(H322="Blanc","-CW","-WWO")))</f>
        <v>DDUC13.75-49.5-CW</v>
      </c>
      <c r="J322" t="str">
        <v>fillers-panels-moldings</v>
      </c>
      <c r="K322" t="str">
        <v>dummy-door</v>
      </c>
      <c r="L322" t="str">
        <f>IFERROR(VLOOKUP(J322,Categories!$A$2:$C$41,3,FALSE()),"⚠ slug introuvable")</f>
        <v>Fillers, panneaux &amp; moulures</v>
      </c>
      <c r="M322" t="str">
        <f>IFERROR(VLOOKUP(K322,Categories!$A$2:$C$41,3,FALSE()),"⚠ slug introuvable")</f>
        <v>Fausse porte</v>
      </c>
      <c r="N322" t="str">
        <v>Fausse porte pour garde-manger</v>
      </c>
      <c r="O322" t="str">
        <f>CONCAT(N322," (",AA322,""" x ",AB322,""")")</f>
        <v>Fausse porte pour garde-manger (13.75" x 49.5")</v>
      </c>
      <c r="P322" t="str">
        <f>CONCAT("Fausse porte - Garde-manger"," (",AA322,""" x ",AB322,""")")</f>
        <v>Fausse porte - Garde-manger (13.75" x 49.5")</v>
      </c>
      <c r="Q322" s="1">
        <v>267</v>
      </c>
      <c r="R322" s="1">
        <f>Q322/11.25</f>
        <v>23.733333333333334</v>
      </c>
      <c r="S322" s="1">
        <f>R322*1.4</f>
        <v>33.22666666666667</v>
      </c>
      <c r="T322" s="1">
        <f>S322*1.1</f>
        <v>36.54933333333334</v>
      </c>
      <c r="U322" s="1">
        <f>T322*1.2</f>
        <v>43.8592</v>
      </c>
      <c r="V322" s="1">
        <f>U322*1.2</f>
        <v>52.63104</v>
      </c>
      <c r="W322" s="1">
        <f>V322*1.1</f>
        <v>57.894144000000004</v>
      </c>
      <c r="X322" s="1">
        <f>W322</f>
        <v>57.894144000000004</v>
      </c>
      <c r="Y322" s="2">
        <v>0.4</v>
      </c>
      <c r="Z322" s="1">
        <f>X322*(1+Y322)</f>
        <v>81.0518016</v>
      </c>
      <c r="AA322">
        <v>13.75</v>
      </c>
      <c r="AB322">
        <v>49.5</v>
      </c>
      <c r="AC322">
        <v>0.75</v>
      </c>
      <c r="AD322" t="str">
        <v>N/A</v>
      </c>
      <c r="AE322" t="str">
        <v>N/A</v>
      </c>
      <c r="AF322" t="str">
        <v>Dummy door for pantry (13.75" x 49.5")</v>
      </c>
      <c r="AG322" t="str">
        <v>Dummy door - Pantry (13.75" x 49.5")</v>
      </c>
    </row>
    <row r="323" hidden="1">
      <c r="A323" t="str">
        <v>S8-美式铰链</v>
      </c>
      <c r="E323" t="b">
        <f>IF(OR(B323=TRUE,C323=TRUE,D323=TRUE),FALSE,TRUE)</f>
        <v>1</v>
      </c>
      <c r="G323" t="str">
        <v>HINGE</v>
      </c>
      <c r="I323" t="str">
        <f>CONCAT(G323,IF(H323="","",IF(H323="Blanc","-CW","-WWO")))</f>
        <v>HINGE</v>
      </c>
      <c r="K323" t="str">
        <v>american-style-hinge</v>
      </c>
      <c r="M323" t="str">
        <f>IFERROR(VLOOKUP(K323,Categories!$A$2:$C$41,3,FALSE()),"⚠ slug introuvable")</f>
        <v>Charnière style américain</v>
      </c>
      <c r="N323" t="str">
        <v>美式铰链</v>
      </c>
      <c r="Q323" s="1">
        <v>10</v>
      </c>
      <c r="R323" s="1">
        <f>Q323/11.25</f>
        <v>0.8888888888888888</v>
      </c>
      <c r="S323" s="1">
        <f>R323*1.4</f>
        <v>1.2444444444444442</v>
      </c>
      <c r="T323" s="1">
        <f>S323*1.1</f>
        <v>1.3688888888888888</v>
      </c>
      <c r="U323" s="1">
        <f>T323*1.2</f>
        <v>1.6426666666666665</v>
      </c>
      <c r="V323" s="1">
        <f>U323*1.2</f>
        <v>1.9711999999999996</v>
      </c>
      <c r="W323" s="1">
        <f>V323*1.1</f>
        <v>2.1683199999999996</v>
      </c>
      <c r="X323" s="1">
        <f>W323</f>
        <v>2.1683199999999996</v>
      </c>
      <c r="Y323" s="2">
        <v>0.4</v>
      </c>
      <c r="Z323" s="1">
        <f>X323*(1+Y323)</f>
        <v>3.0356479999999992</v>
      </c>
      <c r="AD323">
        <v>1</v>
      </c>
      <c r="AE323">
        <v>1</v>
      </c>
    </row>
  </sheetData>
  <autoFilter ref="A1:AE323"/>
  <pageMargins left="0.75" right="0.75" top="1" bottom="1" header="0.511811023622047" footer="0.511811023622047"/>
  <ignoredErrors>
    <ignoredError numberStoredAsText="1" sqref="A1:AG3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 rightToLeft="0"/>
  </sheetViews>
  <cols>
    <col min="1" max="1" customWidth="1" width="34"/>
    <col min="2" max="2" customWidth="1" width="24"/>
    <col min="3" max="3" customWidth="1" width="26"/>
  </cols>
  <sheetData>
    <row r="1" ht="21.75" customHeight="1">
      <c r="A1" t="str">
        <v>slug_en</v>
      </c>
      <c r="B1" t="str">
        <v>parent</v>
      </c>
      <c r="C1" t="str">
        <v>name_fr</v>
      </c>
      <c r="D1" t="str">
        <v>name_en</v>
      </c>
      <c r="E1" t="str">
        <v>slug_fr</v>
      </c>
    </row>
    <row r="2">
      <c r="A2" t="str">
        <v>base-cabinet-corner</v>
      </c>
      <c r="B2" t="str">
        <v>base-cabinet</v>
      </c>
      <c r="C2" t="str">
        <v>Coin</v>
      </c>
      <c r="D2" t="str">
        <v>Corner</v>
      </c>
      <c r="E2" t="str">
        <v>armoire-du-bas-coin</v>
      </c>
    </row>
    <row r="3">
      <c r="A3" t="str">
        <v>base-cabinet-drawer</v>
      </c>
      <c r="B3" t="str">
        <v>base-cabinet</v>
      </c>
      <c r="C3" t="str">
        <v>Tiroir</v>
      </c>
      <c r="D3" t="str">
        <v>Drawer</v>
      </c>
      <c r="E3" t="str">
        <v>armoire-du-bas-tiroir</v>
      </c>
    </row>
    <row r="4">
      <c r="A4" t="str">
        <v>base-cabinet-farmhouse-sink</v>
      </c>
      <c r="B4" t="str">
        <v>base-cabinet</v>
      </c>
      <c r="C4" t="str">
        <v>Évier farmhouse</v>
      </c>
      <c r="D4" t="str">
        <v>Farmhouse sink</v>
      </c>
      <c r="E4" t="str">
        <v>armoire-du-bas-evier-farmhouse</v>
      </c>
    </row>
    <row r="5">
      <c r="A5" t="str">
        <v>base-cabinet-garbage-pull-out</v>
      </c>
      <c r="B5" t="str">
        <v>base-cabinet</v>
      </c>
      <c r="C5" t="str">
        <v>Tiroir à déchets</v>
      </c>
      <c r="D5" t="str">
        <v>Waste drawer</v>
      </c>
      <c r="E5" t="str">
        <v>armoire-du-bas-tiroir-a-dechets</v>
      </c>
    </row>
    <row r="6">
      <c r="A6" t="str">
        <v>base-cabinet-spice-rack-pull-out</v>
      </c>
      <c r="B6" t="str">
        <v>base-cabinet</v>
      </c>
      <c r="C6" t="str">
        <v>Range-épices coulissant</v>
      </c>
      <c r="D6" t="str">
        <v>Pull-out spice rack</v>
      </c>
      <c r="E6" t="str">
        <v>armoire-du-bas-range-epices-coulissant</v>
      </c>
    </row>
    <row r="7">
      <c r="A7" t="str">
        <v>base-cabinet-standard</v>
      </c>
      <c r="B7" t="str">
        <v>base-cabinet</v>
      </c>
      <c r="C7" t="str">
        <v>Standard</v>
      </c>
      <c r="D7" t="str">
        <v>Standard</v>
      </c>
      <c r="E7" t="str">
        <v>armoire-du-bas-standard</v>
      </c>
    </row>
    <row r="8">
      <c r="A8" t="str">
        <v>base-cabinet-standard-pull-out</v>
      </c>
      <c r="B8" t="str">
        <v>base-cabinet</v>
      </c>
      <c r="C8" t="str">
        <v>Standard coulissant</v>
      </c>
      <c r="D8" t="str">
        <v>Standard pull-out</v>
      </c>
      <c r="E8" t="str">
        <v>armoire-du-bas-standard-coulissant</v>
      </c>
    </row>
    <row r="9">
      <c r="A9" t="str">
        <v>base-microwave-cabinet</v>
      </c>
      <c r="B9" t="str">
        <v>base-cabinet</v>
      </c>
      <c r="C9" t="str">
        <v>Micro-ondes</v>
      </c>
      <c r="D9" t="str">
        <v>Microwave</v>
      </c>
      <c r="E9" t="str">
        <v>armoire-du-bas-micro-ondes</v>
      </c>
    </row>
    <row r="10">
      <c r="A10" t="str">
        <v>bathroom-base-cabinet-drawer</v>
      </c>
      <c r="B10" t="str">
        <v>bathroom-base-cabinet</v>
      </c>
      <c r="C10" t="str">
        <v>Tiroir</v>
      </c>
      <c r="D10" t="str">
        <v>Drawer</v>
      </c>
      <c r="E10" t="str">
        <v>armoire-de-salle-de-bain-tiroir</v>
      </c>
    </row>
    <row r="11">
      <c r="A11" t="str">
        <v>bathroom-base-cabinet-sink</v>
      </c>
      <c r="B11" t="str">
        <v>bathroom-base-cabinet</v>
      </c>
      <c r="C11" t="str">
        <v>Évier</v>
      </c>
      <c r="D11" t="str">
        <v>Sink</v>
      </c>
      <c r="E11" t="str">
        <v>armoire-de-salle-de-bain-evier</v>
      </c>
    </row>
    <row r="12">
      <c r="A12" t="str">
        <v>dummy-door</v>
      </c>
      <c r="B12" t="str">
        <v>fillers-panels-moldings</v>
      </c>
      <c r="C12" t="str">
        <v>Fausse porte</v>
      </c>
      <c r="D12" t="str">
        <v>Dummy door</v>
      </c>
      <c r="E12" t="str">
        <v>fillers-panneaux-moulures-fausse-porte</v>
      </c>
    </row>
    <row r="13">
      <c r="A13" t="str">
        <v>fillers-base-wall-tall</v>
      </c>
      <c r="B13" t="str">
        <v>fillers-panels-moldings</v>
      </c>
      <c r="C13" t="str">
        <v>Fillers bas/mural/haut</v>
      </c>
      <c r="D13" t="str">
        <v>Base / wall / tall fillers</v>
      </c>
      <c r="E13" t="str">
        <v>fillers-panneaux-moulures-fillers-bas-mural-haut</v>
      </c>
    </row>
    <row r="14">
      <c r="A14" t="str">
        <v>moldings</v>
      </c>
      <c r="B14" t="str">
        <v>fillers-panels-moldings</v>
      </c>
      <c r="C14" t="str">
        <v>Moulures</v>
      </c>
      <c r="D14" t="str">
        <v>Moldings</v>
      </c>
      <c r="E14" t="str">
        <v>fillers-panneaux-moulures-moulures</v>
      </c>
    </row>
    <row r="15">
      <c r="A15" t="str">
        <v>panels</v>
      </c>
      <c r="B15" t="str">
        <v>fillers-panels-moldings</v>
      </c>
      <c r="C15" t="str">
        <v>Panneaux</v>
      </c>
      <c r="D15" t="str">
        <v>Panels</v>
      </c>
      <c r="E15" t="str">
        <v>fillers-panneaux-moulures-panneaux</v>
      </c>
    </row>
    <row r="16">
      <c r="A16" t="str">
        <v>return-panels-appliance</v>
      </c>
      <c r="B16" t="str">
        <v>fillers-panels-moldings</v>
      </c>
      <c r="C16" t="str">
        <v>Panneau latéral pour électros</v>
      </c>
      <c r="D16" t="str">
        <v>Appliance side panel</v>
      </c>
      <c r="E16" t="str">
        <v>fillers-panneaux-moulures-panneau-lateral-pour-electros</v>
      </c>
    </row>
    <row r="17">
      <c r="A17" t="str">
        <v>oven</v>
      </c>
      <c r="B17" t="str">
        <v>utility-cabinet</v>
      </c>
      <c r="C17" t="str">
        <v>Four</v>
      </c>
      <c r="D17" t="str">
        <v>Oven</v>
      </c>
      <c r="E17" t="str">
        <v>armoire-utilitaire-four</v>
      </c>
    </row>
    <row r="18">
      <c r="A18" t="str">
        <v>pantry</v>
      </c>
      <c r="B18" t="str">
        <v>utility-cabinet</v>
      </c>
      <c r="C18" t="str">
        <v>Garde-manger</v>
      </c>
      <c r="D18" t="str">
        <v>Pantry</v>
      </c>
      <c r="E18" t="str">
        <v>armoire-utilitaire-garde-manger</v>
      </c>
    </row>
    <row r="19">
      <c r="A19" t="str">
        <v>corner</v>
      </c>
      <c r="B19" t="str">
        <v>wall-cabinet</v>
      </c>
      <c r="C19" t="str">
        <v>Coin</v>
      </c>
      <c r="D19" t="str">
        <v>Corner</v>
      </c>
      <c r="E19" t="str">
        <v>armoire-murale-coin</v>
      </c>
    </row>
    <row r="20">
      <c r="A20" t="str">
        <v>standard</v>
      </c>
      <c r="B20" t="str">
        <v>wall-cabinet</v>
      </c>
      <c r="C20" t="str">
        <v>Standard</v>
      </c>
      <c r="D20" t="str">
        <v>Standard</v>
      </c>
      <c r="E20" t="str">
        <v>armoire-murale-standard</v>
      </c>
    </row>
    <row r="21">
      <c r="A21" t="str">
        <v>upper-refrigerator</v>
      </c>
      <c r="B21" t="str">
        <v>wall-cabinet</v>
      </c>
      <c r="C21" t="str">
        <v>Dessus du réfrigérateur</v>
      </c>
      <c r="D21" t="str">
        <v>Above the fridge</v>
      </c>
      <c r="E21" t="str">
        <v>armoire-murale-dessus-du-refrigerateur</v>
      </c>
    </row>
    <row r="22">
      <c r="A22" t="str">
        <v>microwave</v>
      </c>
      <c r="B22" t="str">
        <v>wall-cabinet</v>
      </c>
      <c r="C22" t="str">
        <v>Micro-ondes</v>
      </c>
      <c r="D22" t="str">
        <v>Microwave</v>
      </c>
      <c r="E22" t="str">
        <v>armoire-murale-micro-ondes</v>
      </c>
    </row>
    <row r="23">
      <c r="A23" t="str">
        <v>garbage-bin</v>
      </c>
      <c r="B23" t="str">
        <v>accessories</v>
      </c>
      <c r="C23" t="str">
        <v>Poubelle</v>
      </c>
      <c r="D23" t="str">
        <v>Waste bin</v>
      </c>
      <c r="E23" t="str">
        <v>accessoires-poubelle</v>
      </c>
    </row>
    <row r="24">
      <c r="A24" t="str">
        <v>roll-out-drawer</v>
      </c>
      <c r="B24" t="str">
        <v>accessories</v>
      </c>
      <c r="C24" t="str">
        <v>Tiroir coulissant</v>
      </c>
      <c r="D24" t="str">
        <v>Pull-out drawer</v>
      </c>
      <c r="E24" t="str">
        <v>accessoires-tiroir-coulissant</v>
      </c>
    </row>
    <row r="25">
      <c r="A25" t="str">
        <v>accessories</v>
      </c>
      <c r="C25" t="str">
        <v>Accessoires</v>
      </c>
      <c r="D25" t="str">
        <v>Accessories</v>
      </c>
      <c r="E25" t="str">
        <v>accessoires</v>
      </c>
    </row>
    <row r="26">
      <c r="A26" t="str">
        <v>american-style-hinge</v>
      </c>
      <c r="C26" t="str">
        <v>Charnière style américain</v>
      </c>
      <c r="D26" t="str">
        <v>American-style hinge</v>
      </c>
      <c r="E26" t="str">
        <v>charniere-style-americain</v>
      </c>
    </row>
    <row r="27">
      <c r="A27" t="str">
        <v>base-cabinet</v>
      </c>
      <c r="C27" t="str">
        <v>Armoire du bas</v>
      </c>
      <c r="D27" t="str">
        <v>Base cabinet</v>
      </c>
      <c r="E27" t="str">
        <v>armoire-du-bas</v>
      </c>
    </row>
    <row r="28">
      <c r="A28" t="str">
        <v>bathroom-base-cabinet</v>
      </c>
      <c r="C28" t="str">
        <v>Armoire de salle de bain</v>
      </c>
      <c r="D28" t="str">
        <v>Bathroom cabinet</v>
      </c>
      <c r="E28" t="str">
        <v>armoire-de-salle-de-bain</v>
      </c>
    </row>
    <row r="29">
      <c r="A29" t="str">
        <v>drawer-bottom-side</v>
      </c>
      <c r="C29" t="str">
        <v>Côté dessous tiroir</v>
      </c>
      <c r="D29" t="str">
        <v>Under-drawer side</v>
      </c>
      <c r="E29" t="str">
        <v>cote-dessous-tiroir</v>
      </c>
    </row>
    <row r="30">
      <c r="A30" t="str">
        <v>fillers-panels-moldings</v>
      </c>
      <c r="C30" t="str">
        <v>Fillers, panneaux &amp; moulures</v>
      </c>
      <c r="D30" t="str">
        <v>Fillers, panels &amp; moldings</v>
      </c>
      <c r="E30" t="str">
        <v>fillers-panneaux-moulures</v>
      </c>
    </row>
    <row r="31">
      <c r="A31" t="str">
        <v>island-back-panel</v>
      </c>
      <c r="B31" t="str">
        <v>fillers-panels-moldings</v>
      </c>
      <c r="C31" t="str">
        <v>Panneau arrière d'îlot</v>
      </c>
      <c r="D31" t="str">
        <v>Island back panel</v>
      </c>
      <c r="E31" t="str">
        <v>fillers-panneaux-moulures-panneau-arriere-d-ilot</v>
      </c>
    </row>
    <row r="32">
      <c r="A32" t="str">
        <v>island-side-panel</v>
      </c>
      <c r="B32" t="str">
        <v>fillers-panels-moldings</v>
      </c>
      <c r="C32" t="str">
        <v>Panneau de côté d'îlot</v>
      </c>
      <c r="D32" t="str">
        <v>Island side panel</v>
      </c>
      <c r="E32" t="str">
        <v>fillers-panneaux-moulures-panneau-de-cote-d-ilot</v>
      </c>
    </row>
    <row r="33">
      <c r="A33" t="str">
        <v>wall-end-panel</v>
      </c>
      <c r="B33" t="str">
        <v>fillers-panels-moldings</v>
      </c>
      <c r="C33" t="str">
        <v>Panneau mural</v>
      </c>
      <c r="E33" t="str">
        <v>panneau-d-extremite-mural</v>
      </c>
    </row>
    <row r="34">
      <c r="A34" t="str">
        <v>utility-cabinet</v>
      </c>
      <c r="C34" t="str">
        <v>Armoire utilitaire</v>
      </c>
      <c r="D34" t="str">
        <v>Utility cabinet</v>
      </c>
      <c r="E34" t="str">
        <v>armoire-utilitaire</v>
      </c>
    </row>
    <row r="35">
      <c r="A35" t="str">
        <v>wall-blind-corner</v>
      </c>
      <c r="C35" t="str">
        <v>Coin aveugle mural</v>
      </c>
      <c r="D35" t="str">
        <v>Wall blind corner</v>
      </c>
      <c r="E35" t="str">
        <v>coin-aveugle-mural</v>
      </c>
    </row>
    <row r="36">
      <c r="A36" t="str">
        <v>wall-blind-corner-tall</v>
      </c>
      <c r="C36" t="str">
        <v>Coin aveugle mural haut</v>
      </c>
      <c r="D36" t="str">
        <v>Tall wall blind corner</v>
      </c>
      <c r="E36" t="str">
        <v>coin-aveugle-mural-haut</v>
      </c>
    </row>
    <row r="37">
      <c r="A37" t="str">
        <v>wall-blind-left</v>
      </c>
      <c r="C37" t="str">
        <v>Coin aveugle gauche</v>
      </c>
      <c r="D37" t="str">
        <v>Left blind corner</v>
      </c>
      <c r="E37" t="str">
        <v>coin-aveugle-gauche</v>
      </c>
    </row>
    <row r="38">
      <c r="A38" t="str">
        <v>wall-cabinet</v>
      </c>
      <c r="C38" t="str">
        <v>Armoire murale</v>
      </c>
      <c r="D38" t="str">
        <v>Wall cabinet</v>
      </c>
      <c r="E38" t="str">
        <v>armoire-murale</v>
      </c>
    </row>
    <row r="39">
      <c r="A39" t="str">
        <v>wall-dummy-door</v>
      </c>
      <c r="C39" t="str">
        <v>Fausse porte murale</v>
      </c>
      <c r="D39" t="str">
        <v>Wall dummy door</v>
      </c>
      <c r="E39" t="str">
        <v>fausse-porte-murale</v>
      </c>
    </row>
    <row r="40">
      <c r="A40" t="str">
        <v>wall-end-panel</v>
      </c>
      <c r="C40" t="str">
        <v>Panneau d'extrémité mural</v>
      </c>
      <c r="D40" t="str">
        <v>Wall end panel</v>
      </c>
      <c r="E40" t="str">
        <v>panneau-d-extremite-mural</v>
      </c>
    </row>
    <row r="41">
      <c r="A41" t="str">
        <v>wall-pantry-dummy-door</v>
      </c>
      <c r="C41" t="str">
        <v>Fausse porte murale/garde-manger</v>
      </c>
      <c r="D41" t="str">
        <v>Wall / pantry dummy door</v>
      </c>
      <c r="E41" t="str">
        <v>fausse-porte-murale-garde-manger</v>
      </c>
    </row>
  </sheetData>
  <autoFilter ref="A1:C41"/>
  <pageMargins left="0.75" right="0.75" top="1" bottom="1" header="0.511811023622047" footer="0.511811023622047"/>
  <ignoredErrors>
    <ignoredError numberStoredAsText="1" sqref="A1:E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0:P257"/>
  <sheetViews>
    <sheetView workbookViewId="0" rightToLeft="0"/>
  </sheetViews>
  <cols>
    <col min="1" max="1" customWidth="1" width="16.140625"/>
    <col min="2" max="2" customWidth="1" width="42.42578125"/>
    <col min="3" max="3" customWidth="1" width="20.28515625"/>
    <col min="4" max="4" customWidth="1" width="10.7109375"/>
    <col min="5" max="5" customWidth="1" width="65.42578125"/>
  </cols>
  <sheetData>
    <row r="24">
      <c r="E24" s="1">
        <f>Products!Z90</f>
        <v>254.38730240000004</v>
      </c>
      <c r="F24">
        <v>275</v>
      </c>
      <c r="G24">
        <f>F24*5</f>
        <v>1375</v>
      </c>
    </row>
    <row r="25">
      <c r="E25" s="1">
        <f>Products!Z186</f>
        <v>196.70999039999998</v>
      </c>
      <c r="F25">
        <v>230</v>
      </c>
      <c r="G25">
        <f>F25*5</f>
        <v>1150</v>
      </c>
    </row>
    <row r="28">
      <c r="G28">
        <v>2600</v>
      </c>
    </row>
    <row r="33">
      <c r="A33" t="str">
        <v>Position</v>
      </c>
      <c r="B33" t="str">
        <v>Estimation</v>
      </c>
      <c r="C33" t="str">
        <v>Type</v>
      </c>
    </row>
    <row r="34" ht="60" customHeight="1">
      <c r="A34" t="str">
        <v>Bas gauche micro-ondes</v>
      </c>
      <c r="B34" t="str">
        <v>24"</v>
      </c>
      <c r="C34" t="str">
        <v>2 portes</v>
      </c>
      <c r="D34">
        <v>180</v>
      </c>
    </row>
    <row r="35" ht="30" customHeight="1">
      <c r="A35" t="str">
        <v>Base évier</v>
      </c>
      <c r="B35" t="str">
        <v>30" à 36"</v>
      </c>
      <c r="C35" t="str">
        <v>2 portes</v>
      </c>
      <c r="D35">
        <v>230</v>
      </c>
    </row>
    <row r="36" ht="45" customHeight="1">
      <c r="A36" t="str">
        <v>Base coin / angle</v>
      </c>
      <c r="B36" t="str">
        <v>36" x 36"</v>
      </c>
      <c r="C36" t="str">
        <v>porte angle</v>
      </c>
      <c r="D36">
        <v>300</v>
      </c>
    </row>
    <row r="38" ht="60" customHeight="1">
      <c r="A38" t="str">
        <v>Base tiroirs droite du four</v>
      </c>
      <c r="B38" t="str">
        <v>15" à 18"</v>
      </c>
      <c r="C38" t="str">
        <v>3 tiroirs</v>
      </c>
      <c r="D38">
        <v>280</v>
      </c>
    </row>
    <row r="39" ht="30" customHeight="1">
      <c r="A39" t="str">
        <v>Mural gauche</v>
      </c>
      <c r="B39" t="str">
        <v>24"</v>
      </c>
      <c r="C39" t="str">
        <v>1-2 portes</v>
      </c>
      <c r="D39">
        <v>200</v>
      </c>
    </row>
    <row r="40" ht="60" customHeight="1">
      <c r="A40" t="str">
        <v>Mural au-dessus micro-ondes</v>
      </c>
      <c r="B40" t="str">
        <v>24"</v>
      </c>
      <c r="C40" t="str">
        <v>2 portes</v>
      </c>
      <c r="D40">
        <v>150</v>
      </c>
    </row>
    <row r="41" ht="30" customHeight="1">
      <c r="A41" t="str">
        <v>Mural coin</v>
      </c>
      <c r="B41" t="str">
        <v>24" x 24" ou 27" x 27"</v>
      </c>
      <c r="C41" t="str">
        <v>porte angle</v>
      </c>
      <c r="D41">
        <v>260</v>
      </c>
    </row>
    <row r="42" ht="60" customHeight="1">
      <c r="A42" t="str">
        <v>Muraux au-dessus hotte</v>
      </c>
      <c r="B42" t="str">
        <v>2 × 12" à 15"</v>
      </c>
      <c r="C42" t="str">
        <v>1 porte chaque</v>
      </c>
      <c r="D42">
        <v>200</v>
      </c>
    </row>
    <row r="43" ht="60" customHeight="1">
      <c r="A43" t="str">
        <v>Mural entre hotte/frigo</v>
      </c>
      <c r="B43" t="str">
        <v>12"</v>
      </c>
      <c r="C43" t="str">
        <v>1 porte</v>
      </c>
      <c r="D43">
        <v>150</v>
      </c>
    </row>
    <row r="44" ht="45" customHeight="1">
      <c r="A44" t="str">
        <v>Mural au-dessus frigo</v>
      </c>
      <c r="B44" t="str">
        <v>30" x 12" ou 30" x 15"</v>
      </c>
      <c r="C44" t="str">
        <v>2 portes</v>
      </c>
      <c r="D44">
        <v>150</v>
      </c>
    </row>
    <row r="62">
      <c r="A62">
        <v>9</v>
      </c>
      <c r="B62">
        <v>250</v>
      </c>
    </row>
    <row r="63">
      <c r="A63">
        <v>10</v>
      </c>
      <c r="B63">
        <v>250</v>
      </c>
    </row>
    <row r="64">
      <c r="A64">
        <v>11</v>
      </c>
      <c r="B64">
        <v>300</v>
      </c>
    </row>
    <row r="65">
      <c r="A65">
        <v>12</v>
      </c>
      <c r="B65">
        <v>275</v>
      </c>
    </row>
    <row r="66">
      <c r="A66">
        <v>13</v>
      </c>
      <c r="B66">
        <v>300</v>
      </c>
    </row>
    <row r="67">
      <c r="A67">
        <v>14</v>
      </c>
      <c r="B67">
        <v>300</v>
      </c>
    </row>
    <row r="68">
      <c r="A68">
        <v>15</v>
      </c>
      <c r="B68">
        <v>250</v>
      </c>
    </row>
    <row r="69">
      <c r="A69">
        <v>16</v>
      </c>
      <c r="B69">
        <v>300</v>
      </c>
    </row>
    <row r="70">
      <c r="A70" t="str">
        <v>fridge panel</v>
      </c>
      <c r="B70">
        <v>175</v>
      </c>
    </row>
    <row r="71">
      <c r="A71" t="str">
        <v>toe kick</v>
      </c>
      <c r="B71">
        <f>4*20</f>
        <v>80</v>
      </c>
    </row>
    <row r="74">
      <c r="B74">
        <f>24+50+57+37+65+26+24+36</f>
        <v>319</v>
      </c>
    </row>
    <row r="75">
      <c r="B75">
        <f>B74/12</f>
        <v>26.583333333333332</v>
      </c>
    </row>
    <row r="76">
      <c r="B76">
        <f>B75*200</f>
        <v>5316.666666666666</v>
      </c>
    </row>
    <row r="82">
      <c r="A82" t="str">
        <v>cuisine 10x10, jai dis 5000$ au bonhomme, pis jetait trop cher, yavais trouver moisn cher</v>
      </c>
    </row>
    <row r="83">
      <c r="B83">
        <f>10+10</f>
        <v>20</v>
      </c>
    </row>
    <row r="84">
      <c r="B84">
        <f>B83*250</f>
        <v>5000</v>
      </c>
      <c r="C84" t="str">
        <v>donc 250$/pi lineraire c trop cher</v>
      </c>
    </row>
    <row r="86">
      <c r="B86" t="str">
        <v>comptoir</v>
      </c>
      <c r="C86">
        <f>150</f>
        <v>150</v>
      </c>
      <c r="D86" t="str">
        <v>$pi/2</v>
      </c>
    </row>
    <row r="87">
      <c r="C87">
        <f>2*10+2*10</f>
        <v>40</v>
      </c>
    </row>
    <row r="88">
      <c r="C88">
        <f>C87*C86</f>
        <v>6000</v>
      </c>
    </row>
    <row r="95" ht="16.5" customHeight="1">
      <c r="A95" t="str">
        <v xml:space="preserve">vanités blanches ou autre 72po? </v>
      </c>
    </row>
    <row r="97">
      <c r="B97" t="str">
        <v>Armoire de salle de bain avec 3 tiroirs (12")</v>
      </c>
      <c r="C97" s="1">
        <v>196.88345600000002</v>
      </c>
      <c r="D97" s="1">
        <v>275.6368384</v>
      </c>
    </row>
    <row r="98">
      <c r="B98" t="str">
        <v>Armoire de salle de bain avec 3 tiroirs (15")</v>
      </c>
      <c r="C98" s="1">
        <v>213.362688</v>
      </c>
      <c r="D98" s="1">
        <v>298.7077632</v>
      </c>
    </row>
    <row r="99">
      <c r="B99" t="str">
        <v>Armoire de salle de bain avec 3 tiroirs (18")</v>
      </c>
      <c r="C99" s="1">
        <v>221.60230399999998</v>
      </c>
      <c r="D99" s="1">
        <v>310.24322559999996</v>
      </c>
    </row>
    <row r="100">
      <c r="B100" t="str">
        <v>Vanité de salle de bain à 2 portes (24")</v>
      </c>
      <c r="C100" s="1">
        <v>154.60121600000002</v>
      </c>
      <c r="D100" s="1">
        <v>216.44170240000003</v>
      </c>
    </row>
    <row r="101" ht="16.5" customHeight="1">
      <c r="B101" t="str">
        <v>Vanité de salle de bain à 2 portes (30")</v>
      </c>
      <c r="C101" s="1">
        <v>176.284416</v>
      </c>
      <c r="D101" s="1">
        <v>246.79818239999997</v>
      </c>
    </row>
    <row r="103">
      <c r="B103">
        <f>30+18+18</f>
        <v>66</v>
      </c>
    </row>
    <row r="107">
      <c r="A107" t="str">
        <v>ilot 6pi x 3pi</v>
      </c>
    </row>
    <row r="108">
      <c r="B108" t="str">
        <v>Armoire de cuisine du bas avec 2 portes (36")</v>
      </c>
      <c r="C108" s="1">
        <v>202.521088</v>
      </c>
      <c r="D108" s="1">
        <v>295</v>
      </c>
      <c r="E108" s="1">
        <f>D108-C108</f>
        <v>92.47891200000001</v>
      </c>
      <c r="F108" s="1">
        <f>E108/D108</f>
        <v>0.3134878372881356</v>
      </c>
    </row>
    <row r="109">
      <c r="B109" t="str">
        <v>Armoire de cuisine du bas avec 2 portes (36")</v>
      </c>
      <c r="C109" s="1">
        <v>202.521088</v>
      </c>
      <c r="D109" s="1">
        <v>295</v>
      </c>
      <c r="E109" s="1">
        <f>D109-C109</f>
        <v>92.47891200000001</v>
      </c>
      <c r="F109" s="1">
        <f>E109/D109</f>
        <v>0.3134878372881356</v>
      </c>
    </row>
    <row r="110">
      <c r="B110" t="str">
        <v>comptoir avec overhang (18pi2)</v>
      </c>
      <c r="C110" s="1">
        <f>180*18</f>
        <v>3240</v>
      </c>
      <c r="D110" s="1">
        <f>235*18</f>
        <v>4230</v>
      </c>
      <c r="E110" s="1">
        <f>D110-C110</f>
        <v>990</v>
      </c>
      <c r="F110" s="1">
        <f>E110/D110</f>
        <v>0.23404255319148937</v>
      </c>
    </row>
    <row r="111">
      <c r="B111" t="str">
        <v>Coup-de-pied</v>
      </c>
      <c r="C111" s="1">
        <v>9.106943999999999</v>
      </c>
      <c r="D111" s="1">
        <v>15</v>
      </c>
      <c r="E111" s="1">
        <f>D111-C111</f>
        <v>5.893056000000001</v>
      </c>
      <c r="F111" s="1">
        <f>E111/D111</f>
        <v>0.3928704000000001</v>
      </c>
    </row>
    <row r="112">
      <c r="B112" t="str">
        <v>Coup-de-pied</v>
      </c>
      <c r="C112" s="1">
        <v>9.106943999999999</v>
      </c>
      <c r="D112" s="1">
        <v>15</v>
      </c>
      <c r="E112" s="1">
        <f>D112-C112</f>
        <v>5.893056000000001</v>
      </c>
      <c r="F112" s="1">
        <f>E112/D112</f>
        <v>0.3928704000000001</v>
      </c>
    </row>
    <row r="113">
      <c r="B113" t="str">
        <v>Panneau arrière d'îlot (96" x 36")</v>
      </c>
      <c r="C113" s="1">
        <v>318.92084223999996</v>
      </c>
      <c r="D113" s="1">
        <v>446.4891791359999</v>
      </c>
      <c r="E113" s="1">
        <f>D113-C113</f>
        <v>127.56833689599995</v>
      </c>
      <c r="F113" s="1">
        <f>E113/D113</f>
        <v>0.28571428571428564</v>
      </c>
    </row>
    <row r="114">
      <c r="B114" t="str">
        <v>Panneau de côté d'îlot (25" x 36")</v>
      </c>
      <c r="C114" s="1">
        <v>87.600128</v>
      </c>
      <c r="D114" s="1">
        <v>122.64017919999999</v>
      </c>
      <c r="E114" s="1">
        <f>D114-C114</f>
        <v>35.04005119999999</v>
      </c>
      <c r="F114" s="1">
        <f>E114/D114</f>
        <v>0.2857142857142857</v>
      </c>
    </row>
    <row r="115">
      <c r="B115" t="str">
        <v>Panneau de côté d'îlot (25" x 36")</v>
      </c>
      <c r="C115" s="1">
        <v>87.600128</v>
      </c>
      <c r="D115" s="1">
        <v>122.64017919999999</v>
      </c>
      <c r="E115" s="1">
        <f>D115-C115</f>
        <v>35.04005119999999</v>
      </c>
      <c r="F115" s="1">
        <f>E115/D115</f>
        <v>0.2857142857142857</v>
      </c>
    </row>
    <row r="116">
      <c r="D116" s="1">
        <f>SUM(D108:D115)</f>
        <v>5541.769537535999</v>
      </c>
      <c r="E116" s="1">
        <f>SUM(E108:E115)</f>
        <v>1384.392375296</v>
      </c>
    </row>
    <row r="121">
      <c r="A121" t="str">
        <v xml:space="preserve">Module du bas </v>
      </c>
    </row>
    <row r="122">
      <c r="A122" t="str">
        <v>1 module de coin</v>
      </c>
      <c r="B122">
        <v>440</v>
      </c>
    </row>
    <row r="123">
      <c r="A123" t="str">
        <v>1 module 15 pouces 3 tiroirs</v>
      </c>
      <c r="B123">
        <v>340</v>
      </c>
    </row>
    <row r="124">
      <c r="A124" t="str">
        <v>1 module 15 pouces 3 tiroirs</v>
      </c>
      <c r="B124">
        <v>340</v>
      </c>
    </row>
    <row r="125">
      <c r="A125" t="str">
        <v>1 module 12 pouces ( 1 porte)</v>
      </c>
      <c r="B125">
        <v>175</v>
      </c>
    </row>
    <row r="126">
      <c r="A126" t="str">
        <v>1 modules 30 pouces (2 portes)</v>
      </c>
      <c r="B126">
        <v>290</v>
      </c>
    </row>
    <row r="127">
      <c r="A127" t="str">
        <v>1 modules 30 pouces (2 portes)</v>
      </c>
      <c r="B127">
        <v>290</v>
      </c>
    </row>
    <row r="128">
      <c r="A128" t="str">
        <v>1 module 24 pouces ( 2 portes)</v>
      </c>
      <c r="B128">
        <v>250</v>
      </c>
    </row>
    <row r="129">
      <c r="A129" t="str">
        <v>toe kick</v>
      </c>
      <c r="B129">
        <f>20*2</f>
        <v>40</v>
      </c>
    </row>
    <row r="130">
      <c r="A130" t="str">
        <v>hinge</v>
      </c>
      <c r="B130">
        <v>100</v>
      </c>
    </row>
    <row r="131">
      <c r="B131">
        <f>SUM(B122:B130)</f>
        <v>2265</v>
      </c>
    </row>
    <row r="144">
      <c r="A144" t="str">
        <v>plafond de 8pi, 36pouce de hauteur</v>
      </c>
    </row>
    <row r="163" ht="16.5" customHeight="1">
      <c r="A163" t="str">
        <v>I am looking for 300 inch upper and lower and a island 60 by 120 inch</v>
      </c>
    </row>
    <row r="164">
      <c r="A164">
        <f>300/12</f>
        <v>25</v>
      </c>
      <c r="B164" t="str">
        <v>ft</v>
      </c>
    </row>
    <row r="165">
      <c r="A165">
        <f>A164*150</f>
        <v>3750</v>
      </c>
      <c r="B165" t="str">
        <v>cost</v>
      </c>
    </row>
    <row r="166">
      <c r="A166">
        <f>A164*250</f>
        <v>6250</v>
      </c>
      <c r="B166" t="str">
        <v>price</v>
      </c>
    </row>
    <row r="167">
      <c r="A167">
        <f>A166-A165</f>
        <v>2500</v>
      </c>
      <c r="B167" t="str">
        <v>margin</v>
      </c>
    </row>
    <row r="169">
      <c r="A169">
        <f>(120/12)*2</f>
        <v>20</v>
      </c>
      <c r="B169" t="str">
        <v>ft</v>
      </c>
    </row>
    <row r="170">
      <c r="A170">
        <f>A169*150</f>
        <v>3000</v>
      </c>
      <c r="B170" t="str">
        <v>cost</v>
      </c>
    </row>
    <row r="171">
      <c r="A171">
        <f>A169*250</f>
        <v>5000</v>
      </c>
      <c r="B171" t="str">
        <v>price</v>
      </c>
    </row>
    <row r="172">
      <c r="A172">
        <f>A171-A170</f>
        <v>2000</v>
      </c>
      <c r="B172" t="str">
        <v>margin</v>
      </c>
    </row>
    <row r="176">
      <c r="A176" t="str">
        <v xml:space="preserve">B15 : </v>
      </c>
      <c r="B176" t="str">
        <v>Armoire de cuisine du bas avec 1 porte (15")</v>
      </c>
      <c r="C176" s="1">
        <v>119.69126400000002</v>
      </c>
      <c r="D176" s="1">
        <v>175</v>
      </c>
      <c r="E176" s="1">
        <f>D176-C176</f>
        <v>55.30873599999998</v>
      </c>
      <c r="F176">
        <f>E176/D176</f>
        <v>0.3160499199999999</v>
      </c>
    </row>
    <row r="177">
      <c r="A177" t="str">
        <v>3DB15 : 3 tiroirs, 15" de large</v>
      </c>
      <c r="B177" t="str">
        <v>Armoire de cuisine du bas avec 3 tiroirs (15")</v>
      </c>
      <c r="C177" s="1">
        <v>224.63795200000004</v>
      </c>
      <c r="D177" s="1">
        <v>340</v>
      </c>
      <c r="E177" s="1">
        <f>D177-C177</f>
        <v>115.36204799999996</v>
      </c>
      <c r="F177">
        <f>E177/D177</f>
        <v>0.33930014117647045</v>
      </c>
    </row>
    <row r="178">
      <c r="A178" t="str">
        <v>SB42</v>
      </c>
      <c r="B178" t="str">
        <v>Armoire de cuisine du bas avec 2 portes (42")</v>
      </c>
      <c r="C178" s="1">
        <v>220.73497600000002</v>
      </c>
      <c r="D178" s="1">
        <v>330</v>
      </c>
      <c r="E178" s="1">
        <f>D178-C178</f>
        <v>109.26502399999998</v>
      </c>
      <c r="F178">
        <f>E178/D178</f>
        <v>0.3311061333333333</v>
      </c>
    </row>
    <row r="179">
      <c r="A179" t="str">
        <v>W3018</v>
      </c>
      <c r="B179" t="str">
        <v>Armoire de cuisine du haut à 2 portes (30" x 18")</v>
      </c>
      <c r="C179" s="1">
        <v>88.68428800000001</v>
      </c>
      <c r="D179" s="1">
        <v>150</v>
      </c>
      <c r="E179" s="1">
        <f>D179-C179</f>
        <v>61.31571199999999</v>
      </c>
      <c r="F179">
        <f>E179/D179</f>
        <v>0.4087714133333333</v>
      </c>
    </row>
    <row r="180">
      <c r="A180" t="str">
        <v>W3318</v>
      </c>
      <c r="B180" t="str">
        <v>Armoire de cuisine du haut à 2 portes (33" x 18")</v>
      </c>
      <c r="C180" s="1">
        <v>100.610048</v>
      </c>
      <c r="D180" s="1">
        <v>170</v>
      </c>
      <c r="E180" s="1">
        <f>D180-C180</f>
        <v>69.389952</v>
      </c>
      <c r="F180">
        <f>E180/D180</f>
        <v>0.40817618823529406</v>
      </c>
    </row>
    <row r="181">
      <c r="A181" t="str">
        <v>W3030</v>
      </c>
      <c r="B181" t="str">
        <v>Armoire de cuisine du haut à 2 portes (30" x 30")</v>
      </c>
      <c r="C181" s="1">
        <v>140.507136</v>
      </c>
      <c r="D181" s="1">
        <v>215</v>
      </c>
      <c r="E181" s="1">
        <f>D181-C181</f>
        <v>74.492864</v>
      </c>
      <c r="F181">
        <f>E181/D181</f>
        <v>0.3464784372093023</v>
      </c>
    </row>
    <row r="182">
      <c r="D182" s="1">
        <f>SUM(D176:D181)</f>
        <v>1380</v>
      </c>
      <c r="E182" s="1">
        <f>SUM(E176:E181)</f>
        <v>485.1343359999999</v>
      </c>
    </row>
    <row r="184">
      <c r="A184" t="str">
        <v>shaker blanc</v>
      </c>
    </row>
    <row r="185">
      <c r="A185" t="str">
        <v>B15</v>
      </c>
      <c r="B185" t="str">
        <v>Armoire de cuisine du bas avec 1 porte (15")</v>
      </c>
      <c r="C185" s="1">
        <v>175</v>
      </c>
    </row>
    <row r="186">
      <c r="A186" t="str">
        <v>3DB15</v>
      </c>
      <c r="B186" t="str">
        <v>Armoire de cuisine du bas avec 3 tiroirs (15")</v>
      </c>
      <c r="C186" s="1">
        <v>340</v>
      </c>
    </row>
    <row r="187">
      <c r="A187" t="str">
        <v>SB42</v>
      </c>
      <c r="B187" t="str">
        <v>Armoire de cuisine du bas avec 2 portes (42")</v>
      </c>
      <c r="C187" s="1">
        <v>330</v>
      </c>
    </row>
    <row r="188">
      <c r="A188" t="str">
        <v>W3018</v>
      </c>
      <c r="B188" t="str">
        <v>Armoire de cuisine du haut à 2 portes (30" x 18")</v>
      </c>
      <c r="C188" s="1">
        <v>150</v>
      </c>
    </row>
    <row r="189">
      <c r="A189" t="str">
        <v>W3318</v>
      </c>
      <c r="B189" t="str">
        <v>Armoire de cuisine du haut à 2 portes (33" x 18")</v>
      </c>
      <c r="C189" s="1">
        <v>170</v>
      </c>
    </row>
    <row r="190">
      <c r="A190" t="str">
        <v>W3030</v>
      </c>
      <c r="B190" t="str">
        <v>Armoire de cuisine du haut à 2 portes (30" x 30")</v>
      </c>
      <c r="C190" s="1">
        <v>215</v>
      </c>
    </row>
    <row r="192">
      <c r="A192" t="str">
        <v>chene blanc</v>
      </c>
    </row>
    <row r="196">
      <c r="A196" t="str">
        <v>kelly ann durand</v>
      </c>
    </row>
    <row r="197">
      <c r="B197" t="str">
        <v>Cabinet</v>
      </c>
      <c r="C197" t="str">
        <v>Largeur estimée</v>
      </c>
    </row>
    <row r="198">
      <c r="B198" t="str">
        <v>Garde-manger pleine hauteur</v>
      </c>
      <c r="C198" t="str">
        <v>24"</v>
      </c>
      <c r="E198" t="str">
        <v>Armoire de cuisine garde-manger (24" x 91.5")</v>
      </c>
      <c r="F198" s="1">
        <v>567.666176</v>
      </c>
    </row>
    <row r="199">
      <c r="B199" t="str">
        <v>Cabinet réfrigérateur</v>
      </c>
      <c r="C199" t="str">
        <v>36"</v>
      </c>
      <c r="E199" t="str">
        <v>Armoire de cuisine du haut à 2 portes pour dessus de réfrigérateur (36.5" x 18")</v>
      </c>
      <c r="F199" s="1">
        <v>200.9598976</v>
      </c>
    </row>
    <row r="200">
      <c r="B200" t="str">
        <v>Bloc de 3 tiroirs</v>
      </c>
      <c r="C200" t="str">
        <v>30"</v>
      </c>
      <c r="E200" t="str">
        <v>Armoire de cuisine du bas avec 3 tiroirs (30")</v>
      </c>
      <c r="F200" s="1">
        <v>653.037704704</v>
      </c>
    </row>
    <row r="201">
      <c r="B201" t="str">
        <v>Cuisinière</v>
      </c>
      <c r="C201" t="str">
        <v>30"</v>
      </c>
      <c r="E201" t="str">
        <v>xxx</v>
      </c>
    </row>
    <row r="202">
      <c r="B202" t="str">
        <v>1 port1</v>
      </c>
      <c r="C202" t="str">
        <v>12``</v>
      </c>
      <c r="E202" t="str">
        <v>Armoire de cuisine du bas avec 1 porte (15")</v>
      </c>
      <c r="F202" s="1">
        <v>201.560955904</v>
      </c>
    </row>
    <row r="203">
      <c r="B203" t="str">
        <v>coin 90</v>
      </c>
      <c r="C203" t="str">
        <v>36``</v>
      </c>
      <c r="E203" t="str">
        <v>Armoire de cuisine du bas coin 90º (36")</v>
      </c>
      <c r="F203" s="1">
        <v>515.204107264</v>
      </c>
    </row>
    <row r="205">
      <c r="B205" t="str">
        <v>Cabinet</v>
      </c>
      <c r="C205" t="str">
        <v>Largeur estimée</v>
      </c>
    </row>
    <row r="206">
      <c r="B206" t="str">
        <v>Blind corner (retour)</v>
      </c>
      <c r="C206" t="str">
        <v>42"</v>
      </c>
      <c r="E206" t="str">
        <v>xxx</v>
      </c>
    </row>
    <row r="207">
      <c r="B207" t="str">
        <v>Cabinet évier</v>
      </c>
      <c r="C207" t="str">
        <v>30"</v>
      </c>
      <c r="E207" t="str">
        <v>Armoire de cuisine du bas avec 2 portes (30")</v>
      </c>
      <c r="F207" s="1">
        <v>310.94446028799996</v>
      </c>
    </row>
    <row r="208">
      <c r="B208" t="str">
        <v>Bloc 3 tiroirs</v>
      </c>
      <c r="C208" t="str">
        <v>18"</v>
      </c>
      <c r="E208" t="str">
        <v>xxx</v>
      </c>
    </row>
    <row r="210">
      <c r="B210" t="str">
        <v>Position</v>
      </c>
      <c r="C210" t="str">
        <v>Largeur estimée</v>
      </c>
    </row>
    <row r="211">
      <c r="B211" t="str">
        <v>Au-dessus des tiroirs</v>
      </c>
      <c r="C211" t="str">
        <v>30"</v>
      </c>
      <c r="E211" t="str">
        <v>Armoire de cuisine du haut à 2 portes (30" x 30")</v>
      </c>
      <c r="F211" s="1">
        <v>196.70999039999998</v>
      </c>
    </row>
    <row r="212">
      <c r="B212" t="str">
        <v>Au-dessus de la hotte</v>
      </c>
      <c r="C212" t="str">
        <v>30"</v>
      </c>
      <c r="E212" t="str">
        <v>Armoire de cuisine du haut à 2 portes (30" x 18")</v>
      </c>
      <c r="F212" s="1">
        <v>124.15800320000001</v>
      </c>
    </row>
    <row r="213">
      <c r="B213" t="str">
        <v>À droite de la hotte</v>
      </c>
      <c r="C213" t="str">
        <v>30"</v>
      </c>
      <c r="E213" t="str">
        <v>Armoire de cuisine du haut à 2 portes (30" x 30")</v>
      </c>
      <c r="F213" s="1">
        <v>196.70999039999998</v>
      </c>
    </row>
    <row r="214">
      <c r="B214" t="str">
        <v>Dernier mural</v>
      </c>
      <c r="C214" t="str">
        <v>24"</v>
      </c>
      <c r="E214" t="str">
        <v>Armoire de cuisine du haut à 1 porte (21" x 30")</v>
      </c>
      <c r="F214" s="1">
        <v>152.0859648</v>
      </c>
    </row>
    <row r="216">
      <c r="B216" t="str">
        <v>ilot</v>
      </c>
    </row>
    <row r="217">
      <c r="B217" t="str">
        <v>Cabinet</v>
      </c>
      <c r="C217" t="str">
        <v>Largeur</v>
      </c>
    </row>
    <row r="218">
      <c r="B218" t="str">
        <v>3 tiroirs</v>
      </c>
      <c r="C218" t="str">
        <v>30"</v>
      </c>
      <c r="E218" t="str">
        <v>Armoire de cuisine du bas avec 2 portes (30")</v>
      </c>
      <c r="F218" s="1">
        <v>310.94446028799996</v>
      </c>
    </row>
    <row r="219">
      <c r="B219" t="str">
        <v>3 tiroirs</v>
      </c>
      <c r="C219" t="str">
        <v>30"</v>
      </c>
      <c r="E219" t="str">
        <v>Armoire de cuisine du bas avec tiroir à déchets coulissant (18")</v>
      </c>
      <c r="F219" s="1">
        <v>462.95149824</v>
      </c>
    </row>
    <row r="220">
      <c r="B220" t="str">
        <v>Base porte</v>
      </c>
      <c r="C220" t="str">
        <v>36"</v>
      </c>
      <c r="E220" t="str">
        <v>Armoire de cuisine du bas avec espace micro-ondes et 1 tiroir (27")</v>
      </c>
      <c r="F220" s="1">
        <v>544.77739008</v>
      </c>
    </row>
    <row r="225" ht="16.5" customHeight="1">
      <c r="A225" t="str">
        <v>Disons une cuisine de 10x12 avec un ilot central de 6x4 avec des comptoir en quartz</v>
      </c>
    </row>
    <row r="226">
      <c r="B226" t="str">
        <v>armore</v>
      </c>
    </row>
    <row r="227">
      <c r="B227">
        <f>10+12</f>
        <v>22</v>
      </c>
      <c r="C227">
        <f>B227*150</f>
        <v>3300</v>
      </c>
      <c r="D227">
        <v>4900</v>
      </c>
      <c r="E227">
        <f>D227-C227</f>
        <v>1600</v>
      </c>
      <c r="F227">
        <f>E227/D227</f>
        <v>0.32653061224489793</v>
      </c>
    </row>
    <row r="228">
      <c r="B228">
        <f>6+6</f>
        <v>12</v>
      </c>
      <c r="C228">
        <f>B228*150</f>
        <v>1800</v>
      </c>
      <c r="D228">
        <v>2700</v>
      </c>
      <c r="E228">
        <f>D228-C228</f>
        <v>900</v>
      </c>
      <c r="F228">
        <f>E228/D228</f>
        <v>0.3333333333333333</v>
      </c>
    </row>
    <row r="229">
      <c r="B229" t="str">
        <v>comptoir</v>
      </c>
    </row>
    <row r="230">
      <c r="C230">
        <f>SUM(C227:C228)/2</f>
        <v>2550</v>
      </c>
      <c r="D230">
        <v>3700</v>
      </c>
      <c r="E230">
        <f>D230-C230</f>
        <v>1150</v>
      </c>
      <c r="F230">
        <f>E230/D230</f>
        <v>0.3108108108108108</v>
      </c>
    </row>
    <row r="233">
      <c r="A233" t="str">
        <v>tony</v>
      </c>
    </row>
    <row r="234">
      <c r="A234" t="str">
        <v>2 cabinet</v>
      </c>
      <c r="B234" t="str">
        <v>cost</v>
      </c>
      <c r="C234" t="str">
        <v>price</v>
      </c>
      <c r="D234" t="str">
        <v>margin</v>
      </c>
      <c r="E234" t="str">
        <v>margin</v>
      </c>
    </row>
    <row r="235">
      <c r="A235" t="str">
        <v>armoires</v>
      </c>
      <c r="B235">
        <v>950</v>
      </c>
    </row>
    <row r="236">
      <c r="A236" t="str">
        <v>comptoir</v>
      </c>
      <c r="B236">
        <v>500</v>
      </c>
    </row>
    <row r="237">
      <c r="A237" t="str">
        <v>assemblage</v>
      </c>
      <c r="B237">
        <v>200</v>
      </c>
    </row>
    <row r="238">
      <c r="A238" t="str">
        <v>installation</v>
      </c>
      <c r="B238">
        <v>300</v>
      </c>
    </row>
    <row r="239">
      <c r="A239" t="str">
        <v>livraison</v>
      </c>
      <c r="B239">
        <v>100</v>
      </c>
    </row>
    <row r="240">
      <c r="B240">
        <f>SUM(B235:B239)</f>
        <v>2050</v>
      </c>
      <c r="C240">
        <v>3100</v>
      </c>
      <c r="D240">
        <f>C240-B240</f>
        <v>1050</v>
      </c>
      <c r="E240" s="2">
        <f>D240/C240</f>
        <v>0.3387096774193548</v>
      </c>
    </row>
    <row r="242">
      <c r="A242" t="str">
        <v>42in wide island</v>
      </c>
    </row>
    <row r="243">
      <c r="A243" t="str">
        <v>24 depth</v>
      </c>
    </row>
    <row r="244">
      <c r="A244" t="str">
        <v xml:space="preserve">comptoir : </v>
      </c>
    </row>
    <row r="245">
      <c r="A245">
        <f>(42/12)*(24/12)</f>
        <v>7</v>
      </c>
      <c r="B245">
        <f>500/7</f>
        <v>71.42857142857143</v>
      </c>
      <c r="C245" t="str">
        <v>$/pi2</v>
      </c>
      <c r="D245" t="str">
        <v>pour le vendant du comptoir</v>
      </c>
    </row>
    <row r="247">
      <c r="A247" t="str">
        <v>electricité ??????</v>
      </c>
    </row>
    <row r="248">
      <c r="A248" t="str">
        <v>couleur ??? Texter amy</v>
      </c>
    </row>
    <row r="250">
      <c r="A250" t="str">
        <v>S8-BMC27</v>
      </c>
      <c r="B250" s="1">
        <v>240.68352</v>
      </c>
      <c r="C250" s="1">
        <v>336.95692799999995</v>
      </c>
    </row>
    <row r="251">
      <c r="A251" t="str">
        <v>S8-FB15</v>
      </c>
      <c r="B251" s="1">
        <v>119.69126400000002</v>
      </c>
      <c r="C251" s="1">
        <v>167.56776960000002</v>
      </c>
    </row>
    <row r="252">
      <c r="A252" t="str">
        <v>S8-ISP25.75X36</v>
      </c>
      <c r="B252" s="1">
        <v>54.424832</v>
      </c>
      <c r="C252" s="1">
        <v>76.1947648</v>
      </c>
    </row>
    <row r="253">
      <c r="A253" t="str">
        <v>S8-ISP25.75X36</v>
      </c>
      <c r="B253" s="1">
        <v>54.424832</v>
      </c>
      <c r="C253" s="1">
        <v>76.1947648</v>
      </c>
    </row>
    <row r="254">
      <c r="A254" t="str">
        <v>S8-ROD24</v>
      </c>
      <c r="B254" s="1">
        <v>216.832</v>
      </c>
      <c r="C254" s="1">
        <v>303.5648</v>
      </c>
    </row>
    <row r="255">
      <c r="A255" t="str">
        <v>S8-ROD24</v>
      </c>
      <c r="B255" s="1">
        <v>216.832</v>
      </c>
      <c r="C255" s="1">
        <v>303.5648</v>
      </c>
    </row>
    <row r="256">
      <c r="A256" t="str">
        <v>S8-TK8</v>
      </c>
      <c r="B256" s="1">
        <v>9.106943999999999</v>
      </c>
      <c r="C256" s="1">
        <v>12.749721599999997</v>
      </c>
    </row>
    <row r="257">
      <c r="B257" s="1">
        <f>SUM(B250:B256)</f>
        <v>911.9953919999999</v>
      </c>
      <c r="C257" s="1">
        <f>SUM(C250:C256)</f>
        <v>1276.7935488</v>
      </c>
    </row>
  </sheetData>
  <pageMargins left="0.7" right="0.7" top="0.75" bottom="0.75" header="0.3" footer="0.3"/>
  <ignoredErrors>
    <ignoredError numberStoredAsText="1" sqref="A20:P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Categories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2026-05-25T01:43:15Z</dcterms:created>
  <dcterms:modified xsi:type="dcterms:W3CDTF">2026-06-21T23:00:32Z</dcterms:modified>
  <cp:revision>0</cp:revision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0x0101005A7EC0B5D8D56340944C1DDE99361991</vt:lpwstr>
  </property>
  <property fmtid="{D5CDD505-2E9C-101B-9397-08002B2CF9AE}" pid="3" name="MediaServiceImageTags">
    <vt:lpwstr/>
  </property>
</Properties>
</file>